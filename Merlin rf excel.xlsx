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Nature Studies\Merlin Note\"/>
    </mc:Choice>
  </mc:AlternateContent>
  <xr:revisionPtr revIDLastSave="0" documentId="13_ncr:1_{17FCE318-4ED5-44E1-B1F2-54E4AEE36BA1}" xr6:coauthVersionLast="47" xr6:coauthVersionMax="47" xr10:uidLastSave="{00000000-0000-0000-0000-000000000000}"/>
  <bookViews>
    <workbookView xWindow="-108" yWindow="-108" windowWidth="23256" windowHeight="12456" activeTab="1" xr2:uid="{3057878B-B520-4989-AB17-FA0DC9EEF59D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43" i="1" l="1"/>
  <c r="AB346" i="1"/>
  <c r="Z193" i="1"/>
  <c r="Z192" i="1"/>
  <c r="Z440" i="1"/>
  <c r="Z439" i="1"/>
  <c r="AA439" i="1" s="1"/>
  <c r="Z434" i="1"/>
  <c r="Z433" i="1"/>
  <c r="Z428" i="1"/>
  <c r="Z427" i="1"/>
  <c r="Z422" i="1"/>
  <c r="Z421" i="1"/>
  <c r="AA421" i="1" s="1"/>
  <c r="Z416" i="1"/>
  <c r="Z415" i="1"/>
  <c r="Z410" i="1"/>
  <c r="AA409" i="1"/>
  <c r="Z409" i="1"/>
  <c r="Z404" i="1"/>
  <c r="Z403" i="1"/>
  <c r="Z398" i="1"/>
  <c r="Z397" i="1"/>
  <c r="Z392" i="1"/>
  <c r="Z391" i="1"/>
  <c r="Z386" i="1"/>
  <c r="Z385" i="1"/>
  <c r="Z380" i="1"/>
  <c r="Z379" i="1"/>
  <c r="Z374" i="1"/>
  <c r="Z373" i="1"/>
  <c r="Z368" i="1"/>
  <c r="Z367" i="1"/>
  <c r="Z362" i="1"/>
  <c r="Z361" i="1"/>
  <c r="Z356" i="1"/>
  <c r="Z355" i="1"/>
  <c r="Z350" i="1"/>
  <c r="Z349" i="1"/>
  <c r="Z338" i="1"/>
  <c r="Z337" i="1"/>
  <c r="Z332" i="1"/>
  <c r="Z331" i="1"/>
  <c r="AA331" i="1" s="1"/>
  <c r="Z326" i="1"/>
  <c r="Z325" i="1"/>
  <c r="Z320" i="1"/>
  <c r="Z319" i="1"/>
  <c r="AA319" i="1" s="1"/>
  <c r="Z314" i="1"/>
  <c r="Z313" i="1"/>
  <c r="Z308" i="1"/>
  <c r="Z307" i="1"/>
  <c r="AA307" i="1" s="1"/>
  <c r="Z302" i="1"/>
  <c r="Z301" i="1"/>
  <c r="Z296" i="1"/>
  <c r="Z295" i="1"/>
  <c r="AA295" i="1" s="1"/>
  <c r="Z290" i="1"/>
  <c r="Z289" i="1"/>
  <c r="Z284" i="1"/>
  <c r="Z283" i="1"/>
  <c r="AA283" i="1" s="1"/>
  <c r="Z278" i="1"/>
  <c r="Z277" i="1"/>
  <c r="Z273" i="1"/>
  <c r="Z272" i="1"/>
  <c r="Z268" i="1"/>
  <c r="Z267" i="1"/>
  <c r="Z263" i="1"/>
  <c r="Z262" i="1"/>
  <c r="Z258" i="1"/>
  <c r="Z257" i="1"/>
  <c r="Z253" i="1"/>
  <c r="Z252" i="1"/>
  <c r="AA252" i="1" s="1"/>
  <c r="Z248" i="1"/>
  <c r="Z247" i="1"/>
  <c r="Z243" i="1"/>
  <c r="Z242" i="1"/>
  <c r="AA242" i="1" s="1"/>
  <c r="Z238" i="1"/>
  <c r="Z237" i="1"/>
  <c r="Z233" i="1"/>
  <c r="Z232" i="1"/>
  <c r="AA232" i="1" s="1"/>
  <c r="Z228" i="1"/>
  <c r="Z227" i="1"/>
  <c r="Z223" i="1"/>
  <c r="Z222" i="1"/>
  <c r="AA222" i="1" s="1"/>
  <c r="Z218" i="1"/>
  <c r="Z217" i="1"/>
  <c r="Z213" i="1"/>
  <c r="Z212" i="1"/>
  <c r="AA212" i="1" s="1"/>
  <c r="Z208" i="1"/>
  <c r="Z207" i="1"/>
  <c r="Z203" i="1"/>
  <c r="Z202" i="1"/>
  <c r="Z198" i="1"/>
  <c r="Z197" i="1"/>
  <c r="Z188" i="1"/>
  <c r="Z187" i="1"/>
  <c r="Z183" i="1"/>
  <c r="Z182" i="1"/>
  <c r="Z178" i="1"/>
  <c r="Z177" i="1"/>
  <c r="Z173" i="1"/>
  <c r="Z172" i="1"/>
  <c r="Z168" i="1"/>
  <c r="Z167" i="1"/>
  <c r="AA167" i="1" s="1"/>
  <c r="Z160" i="1"/>
  <c r="Z159" i="1"/>
  <c r="Z155" i="1"/>
  <c r="Z154" i="1"/>
  <c r="Z150" i="1"/>
  <c r="Z149" i="1"/>
  <c r="Z145" i="1"/>
  <c r="Z144" i="1"/>
  <c r="AA144" i="1" s="1"/>
  <c r="Z140" i="1"/>
  <c r="Z139" i="1"/>
  <c r="Z135" i="1"/>
  <c r="Z134" i="1"/>
  <c r="AA134" i="1" s="1"/>
  <c r="Z130" i="1"/>
  <c r="Z129" i="1"/>
  <c r="Z125" i="1"/>
  <c r="Z124" i="1"/>
  <c r="Z120" i="1"/>
  <c r="Z119" i="1"/>
  <c r="Z115" i="1"/>
  <c r="Z114" i="1"/>
  <c r="AA114" i="1" s="1"/>
  <c r="Z110" i="1"/>
  <c r="Z109" i="1"/>
  <c r="Z105" i="1"/>
  <c r="Z104" i="1"/>
  <c r="AA104" i="1" s="1"/>
  <c r="Z100" i="1"/>
  <c r="Z99" i="1"/>
  <c r="Z95" i="1"/>
  <c r="Z94" i="1"/>
  <c r="Z90" i="1"/>
  <c r="Z89" i="1"/>
  <c r="Z85" i="1"/>
  <c r="Z84" i="1"/>
  <c r="AA84" i="1" s="1"/>
  <c r="Z80" i="1"/>
  <c r="Z79" i="1"/>
  <c r="Z75" i="1"/>
  <c r="Z74" i="1"/>
  <c r="AA74" i="1" s="1"/>
  <c r="Z70" i="1"/>
  <c r="Z69" i="1"/>
  <c r="Z65" i="1"/>
  <c r="Z64" i="1"/>
  <c r="Z60" i="1"/>
  <c r="Z59" i="1"/>
  <c r="Z55" i="1"/>
  <c r="Z54" i="1"/>
  <c r="AA54" i="1" s="1"/>
  <c r="Z50" i="1"/>
  <c r="Z49" i="1"/>
  <c r="Z45" i="1"/>
  <c r="Z44" i="1"/>
  <c r="AA44" i="1" s="1"/>
  <c r="Z40" i="1"/>
  <c r="Z39" i="1"/>
  <c r="Z35" i="1"/>
  <c r="Z34" i="1"/>
  <c r="AA34" i="1" s="1"/>
  <c r="Z4" i="1"/>
  <c r="Z30" i="1"/>
  <c r="Z29" i="1"/>
  <c r="Z25" i="1"/>
  <c r="Z24" i="1"/>
  <c r="Z20" i="1"/>
  <c r="Z19" i="1"/>
  <c r="Z15" i="1"/>
  <c r="Z14" i="1"/>
  <c r="Z10" i="1"/>
  <c r="Z9" i="1"/>
  <c r="Z5" i="1"/>
  <c r="AA192" i="1" l="1"/>
  <c r="AA313" i="1"/>
  <c r="AA4" i="1"/>
  <c r="AA379" i="1"/>
  <c r="AA355" i="1"/>
  <c r="AA9" i="1"/>
  <c r="AA39" i="1"/>
  <c r="AA69" i="1"/>
  <c r="AA99" i="1"/>
  <c r="AA129" i="1"/>
  <c r="AA159" i="1"/>
  <c r="AA227" i="1"/>
  <c r="AA257" i="1"/>
  <c r="AA289" i="1"/>
  <c r="AA325" i="1"/>
  <c r="AA361" i="1"/>
  <c r="AA397" i="1"/>
  <c r="AA433" i="1"/>
  <c r="AA391" i="1"/>
  <c r="AA427" i="1"/>
  <c r="AA403" i="1"/>
  <c r="AA337" i="1"/>
  <c r="AA373" i="1"/>
  <c r="AA349" i="1"/>
  <c r="AA385" i="1"/>
  <c r="AA415" i="1"/>
  <c r="AA24" i="1"/>
  <c r="AA367" i="1"/>
  <c r="AA301" i="1"/>
  <c r="AA14" i="1"/>
  <c r="AA272" i="1"/>
  <c r="AA29" i="1"/>
  <c r="AA59" i="1"/>
  <c r="AA89" i="1"/>
  <c r="AA119" i="1"/>
  <c r="AA149" i="1"/>
  <c r="AA182" i="1"/>
  <c r="AA217" i="1"/>
  <c r="AA247" i="1"/>
  <c r="AA277" i="1"/>
  <c r="AA49" i="1"/>
  <c r="AA109" i="1"/>
  <c r="AA139" i="1"/>
  <c r="AA172" i="1"/>
  <c r="AA207" i="1"/>
  <c r="AC208" i="1" s="1"/>
  <c r="AA237" i="1"/>
  <c r="AA267" i="1"/>
  <c r="AA19" i="1"/>
  <c r="AA202" i="1"/>
  <c r="AA177" i="1"/>
  <c r="AA262" i="1"/>
  <c r="AA64" i="1"/>
  <c r="AA94" i="1"/>
  <c r="AA124" i="1"/>
  <c r="AA79" i="1"/>
  <c r="AA154" i="1"/>
  <c r="AA187" i="1"/>
  <c r="AA197" i="1"/>
  <c r="A162" i="1" l="1"/>
</calcChain>
</file>

<file path=xl/sharedStrings.xml><?xml version="1.0" encoding="utf-8"?>
<sst xmlns="http://schemas.openxmlformats.org/spreadsheetml/2006/main" count="545" uniqueCount="94">
  <si>
    <t>Country</t>
  </si>
  <si>
    <t>Niger</t>
  </si>
  <si>
    <t>Total lists</t>
  </si>
  <si>
    <t>Week</t>
  </si>
  <si>
    <t>Nigeria</t>
  </si>
  <si>
    <t>Chad</t>
  </si>
  <si>
    <t>Cameroon</t>
  </si>
  <si>
    <t>Sudan</t>
  </si>
  <si>
    <t>South Sudan</t>
  </si>
  <si>
    <t>Central African Republic</t>
  </si>
  <si>
    <t>Eritrea</t>
  </si>
  <si>
    <t>Egypt</t>
  </si>
  <si>
    <t>Ethiopia</t>
  </si>
  <si>
    <t>Somalia</t>
  </si>
  <si>
    <t>Kenya</t>
  </si>
  <si>
    <t>Uganda</t>
  </si>
  <si>
    <t>Rwanda</t>
  </si>
  <si>
    <t>Burundi</t>
  </si>
  <si>
    <t>DR Congo</t>
  </si>
  <si>
    <t>Congo</t>
  </si>
  <si>
    <t>Gabon</t>
  </si>
  <si>
    <t>Equatorial Guinea</t>
  </si>
  <si>
    <t>Tanzania</t>
  </si>
  <si>
    <t>Zambia</t>
  </si>
  <si>
    <t>Angola</t>
  </si>
  <si>
    <t>Malawi</t>
  </si>
  <si>
    <t>Mozambique</t>
  </si>
  <si>
    <t>Zimbabwe</t>
  </si>
  <si>
    <t>Botswana</t>
  </si>
  <si>
    <t>Namibia</t>
  </si>
  <si>
    <t>Eswatini</t>
  </si>
  <si>
    <t>Lesotho</t>
  </si>
  <si>
    <t>South Africa</t>
  </si>
  <si>
    <t>Madagascar</t>
  </si>
  <si>
    <t>Oman</t>
  </si>
  <si>
    <t>Yemen</t>
  </si>
  <si>
    <t>Saudi Arabia</t>
  </si>
  <si>
    <t>UAE</t>
  </si>
  <si>
    <t>Bangladesh</t>
  </si>
  <si>
    <t>IN-MIZORAM</t>
  </si>
  <si>
    <t>IN-TRIPURA</t>
  </si>
  <si>
    <t>IN-GUJARAT_1</t>
  </si>
  <si>
    <t>IN-GUJARAT_2</t>
  </si>
  <si>
    <t>Myanmar</t>
  </si>
  <si>
    <t>Laos</t>
  </si>
  <si>
    <t>Vietnam</t>
  </si>
  <si>
    <t>Thailand</t>
  </si>
  <si>
    <t>Cambodia</t>
  </si>
  <si>
    <t>Merlin lists</t>
  </si>
  <si>
    <t>Merlin Lists</t>
  </si>
  <si>
    <t>IN-SOUTH_DD</t>
  </si>
  <si>
    <t>IN-SOUTH_PY</t>
  </si>
  <si>
    <t>IN-SOUTH_LD</t>
  </si>
  <si>
    <t>IN-SOUTH_WB</t>
  </si>
  <si>
    <t>Malaysia</t>
  </si>
  <si>
    <t>Indonesia</t>
  </si>
  <si>
    <t>Philippines</t>
  </si>
  <si>
    <t>Brunei</t>
  </si>
  <si>
    <t>Merlin%</t>
  </si>
  <si>
    <t>Region</t>
  </si>
  <si>
    <t>Latitude (°N)</t>
  </si>
  <si>
    <t>RF (%)</t>
  </si>
  <si>
    <t>India</t>
  </si>
  <si>
    <t>Total Lists</t>
  </si>
  <si>
    <t>Russia</t>
  </si>
  <si>
    <t>Kazakhstan</t>
  </si>
  <si>
    <t>Mongolia</t>
  </si>
  <si>
    <t>China</t>
  </si>
  <si>
    <t>Uzbekistan</t>
  </si>
  <si>
    <t>Kyrgyzstan</t>
  </si>
  <si>
    <t>Turkmenistan</t>
  </si>
  <si>
    <t>Tajikistan</t>
  </si>
  <si>
    <t>North Korea</t>
  </si>
  <si>
    <t>South Korea</t>
  </si>
  <si>
    <t>Japan</t>
  </si>
  <si>
    <t>Azerbaijan</t>
  </si>
  <si>
    <t>Georgia</t>
  </si>
  <si>
    <t>Turkiye</t>
  </si>
  <si>
    <t>Syria</t>
  </si>
  <si>
    <t>Lebanon</t>
  </si>
  <si>
    <t>Israel</t>
  </si>
  <si>
    <t>Palestine</t>
  </si>
  <si>
    <t>Jordan</t>
  </si>
  <si>
    <t>Iran</t>
  </si>
  <si>
    <t>Iraq</t>
  </si>
  <si>
    <t>Kuwait</t>
  </si>
  <si>
    <t>Afghanistan</t>
  </si>
  <si>
    <t>Pakisan</t>
  </si>
  <si>
    <t>Bhutan</t>
  </si>
  <si>
    <t>Nepal</t>
  </si>
  <si>
    <t>Taiwan</t>
  </si>
  <si>
    <t>Africa RF</t>
  </si>
  <si>
    <t>Gujarat RF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</si>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</sst>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E272-542C-4EF3-916D-FFE2C26701D2}">
  <dimension ref="A1:AC840"/>
  <sheetViews>
    <sheetView topLeftCell="B244" zoomScale="42" workbookViewId="0">
      <selection activeCell="U397" sqref="U397"/>
    </sheetView>
  </sheetViews>
  <sheetFormatPr defaultRowHeight="14.4" x14ac:dyDescent="0.3"/>
  <cols>
    <col min="1" max="1" width="20" customWidth="1"/>
    <col min="2" max="2" width="12.21875" customWidth="1"/>
    <col min="3" max="5" width="9" bestFit="1" customWidth="1"/>
    <col min="6" max="13" width="9.109375" bestFit="1" customWidth="1"/>
    <col min="14" max="21" width="9" bestFit="1" customWidth="1"/>
    <col min="22" max="25" width="9.5546875" bestFit="1" customWidth="1"/>
    <col min="26" max="26" width="9.109375" bestFit="1" customWidth="1"/>
    <col min="27" max="27" width="15.33203125" bestFit="1" customWidth="1"/>
    <col min="29" max="29" width="18.109375" customWidth="1"/>
  </cols>
  <sheetData>
    <row r="1" spans="1:27" x14ac:dyDescent="0.3">
      <c r="A1" t="s">
        <v>0</v>
      </c>
      <c r="B1" t="s">
        <v>1</v>
      </c>
    </row>
    <row r="2" spans="1:27" x14ac:dyDescent="0.3">
      <c r="A2" t="s">
        <v>3</v>
      </c>
      <c r="B2" s="1">
        <v>46296</v>
      </c>
      <c r="C2" s="1">
        <v>46303</v>
      </c>
      <c r="D2" s="1">
        <v>46310</v>
      </c>
      <c r="E2" s="1">
        <v>46317</v>
      </c>
      <c r="F2" s="1">
        <v>46327</v>
      </c>
      <c r="G2" s="1">
        <v>46334</v>
      </c>
      <c r="H2" s="1">
        <v>46341</v>
      </c>
      <c r="I2" s="1">
        <v>46348</v>
      </c>
      <c r="J2" s="1">
        <v>46357</v>
      </c>
      <c r="K2" s="1">
        <v>46364</v>
      </c>
      <c r="L2" s="1">
        <v>46371</v>
      </c>
      <c r="M2" s="1">
        <v>46378</v>
      </c>
      <c r="N2" s="1">
        <v>46023</v>
      </c>
      <c r="O2" s="1">
        <v>46030</v>
      </c>
      <c r="P2" s="1">
        <v>46037</v>
      </c>
      <c r="Q2" s="1">
        <v>46044</v>
      </c>
      <c r="R2" s="1">
        <v>46054</v>
      </c>
      <c r="S2" s="1">
        <v>46061</v>
      </c>
      <c r="T2" s="1">
        <v>46068</v>
      </c>
      <c r="U2" s="1">
        <v>46075</v>
      </c>
      <c r="V2" s="1">
        <v>46082</v>
      </c>
      <c r="W2" s="1">
        <v>46089</v>
      </c>
      <c r="X2" s="1">
        <v>46096</v>
      </c>
      <c r="Y2" s="1">
        <v>46103</v>
      </c>
    </row>
    <row r="3" spans="1:27" x14ac:dyDescent="0.3">
      <c r="A3" t="s">
        <v>58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7" x14ac:dyDescent="0.3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f>SUM(B4:Y4)</f>
        <v>0</v>
      </c>
      <c r="AA4">
        <f>Z4/Z5</f>
        <v>0</v>
      </c>
    </row>
    <row r="5" spans="1:27" x14ac:dyDescent="0.3">
      <c r="A5" t="s">
        <v>2</v>
      </c>
      <c r="B5">
        <v>4</v>
      </c>
      <c r="C5">
        <v>8</v>
      </c>
      <c r="D5">
        <v>3</v>
      </c>
      <c r="E5">
        <v>6</v>
      </c>
      <c r="F5">
        <v>1</v>
      </c>
      <c r="G5">
        <v>1</v>
      </c>
      <c r="H5">
        <v>1</v>
      </c>
      <c r="I5">
        <v>0</v>
      </c>
      <c r="J5">
        <v>1</v>
      </c>
      <c r="K5">
        <v>0</v>
      </c>
      <c r="L5">
        <v>8</v>
      </c>
      <c r="M5">
        <v>17</v>
      </c>
      <c r="N5">
        <v>5</v>
      </c>
      <c r="O5">
        <v>19</v>
      </c>
      <c r="P5">
        <v>4</v>
      </c>
      <c r="Q5">
        <v>6</v>
      </c>
      <c r="R5">
        <v>0</v>
      </c>
      <c r="S5">
        <v>12</v>
      </c>
      <c r="T5">
        <v>8</v>
      </c>
      <c r="U5">
        <v>3</v>
      </c>
      <c r="V5">
        <v>2</v>
      </c>
      <c r="W5">
        <v>0</v>
      </c>
      <c r="X5">
        <v>2</v>
      </c>
      <c r="Y5">
        <v>11</v>
      </c>
      <c r="Z5">
        <f>SUM(B5:Y5)</f>
        <v>122</v>
      </c>
    </row>
    <row r="6" spans="1:27" x14ac:dyDescent="0.3">
      <c r="A6" t="s">
        <v>0</v>
      </c>
      <c r="B6" t="s">
        <v>4</v>
      </c>
    </row>
    <row r="7" spans="1:27" x14ac:dyDescent="0.3">
      <c r="A7" t="s">
        <v>3</v>
      </c>
      <c r="B7" s="1">
        <v>46296</v>
      </c>
      <c r="C7" s="1">
        <v>46303</v>
      </c>
      <c r="D7" s="1">
        <v>46310</v>
      </c>
      <c r="E7" s="1">
        <v>46317</v>
      </c>
      <c r="F7" s="1">
        <v>46327</v>
      </c>
      <c r="G7" s="1">
        <v>46334</v>
      </c>
      <c r="H7" s="1">
        <v>46341</v>
      </c>
      <c r="I7" s="1">
        <v>46348</v>
      </c>
      <c r="J7" s="1">
        <v>46357</v>
      </c>
      <c r="K7" s="1">
        <v>46364</v>
      </c>
      <c r="L7" s="1">
        <v>46371</v>
      </c>
      <c r="M7" s="1">
        <v>46378</v>
      </c>
      <c r="N7" s="1">
        <v>46023</v>
      </c>
      <c r="O7" s="1">
        <v>46030</v>
      </c>
      <c r="P7" s="1">
        <v>46037</v>
      </c>
      <c r="Q7" s="1">
        <v>46044</v>
      </c>
      <c r="R7" s="1">
        <v>46054</v>
      </c>
      <c r="S7" s="1">
        <v>46061</v>
      </c>
      <c r="T7" s="1">
        <v>46068</v>
      </c>
      <c r="U7" s="1">
        <v>46075</v>
      </c>
      <c r="V7" s="1">
        <v>46082</v>
      </c>
      <c r="W7" s="1">
        <v>46089</v>
      </c>
      <c r="X7" s="1">
        <v>46096</v>
      </c>
      <c r="Y7" s="1">
        <v>46103</v>
      </c>
    </row>
    <row r="8" spans="1:27" x14ac:dyDescent="0.3">
      <c r="A8" t="s">
        <v>58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7" x14ac:dyDescent="0.3">
      <c r="A9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>SUM(B9:Y9)</f>
        <v>0</v>
      </c>
      <c r="AA9">
        <f>Z9/Z10</f>
        <v>0</v>
      </c>
    </row>
    <row r="10" spans="1:27" x14ac:dyDescent="0.3">
      <c r="A10" t="s">
        <v>2</v>
      </c>
      <c r="B10">
        <v>92</v>
      </c>
      <c r="C10">
        <v>276</v>
      </c>
      <c r="D10">
        <v>158</v>
      </c>
      <c r="E10">
        <v>136</v>
      </c>
      <c r="F10">
        <v>79</v>
      </c>
      <c r="G10">
        <v>92</v>
      </c>
      <c r="H10">
        <v>98</v>
      </c>
      <c r="I10">
        <v>121</v>
      </c>
      <c r="J10">
        <v>117</v>
      </c>
      <c r="K10">
        <v>115</v>
      </c>
      <c r="L10">
        <v>84</v>
      </c>
      <c r="M10">
        <v>110</v>
      </c>
      <c r="N10">
        <v>72</v>
      </c>
      <c r="O10">
        <v>67</v>
      </c>
      <c r="P10">
        <v>49</v>
      </c>
      <c r="Q10">
        <v>163</v>
      </c>
      <c r="R10">
        <v>63</v>
      </c>
      <c r="S10">
        <v>83</v>
      </c>
      <c r="T10">
        <v>126</v>
      </c>
      <c r="U10">
        <v>76</v>
      </c>
      <c r="V10">
        <v>69</v>
      </c>
      <c r="W10">
        <v>68</v>
      </c>
      <c r="X10">
        <v>79</v>
      </c>
      <c r="Y10">
        <v>104</v>
      </c>
      <c r="Z10">
        <f>SUM(B10:Y10)</f>
        <v>2497</v>
      </c>
    </row>
    <row r="11" spans="1:27" x14ac:dyDescent="0.3">
      <c r="A11" t="s">
        <v>0</v>
      </c>
      <c r="B11" s="1" t="s">
        <v>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7" x14ac:dyDescent="0.3">
      <c r="A12" t="s">
        <v>3</v>
      </c>
      <c r="B12" s="1">
        <v>46296</v>
      </c>
      <c r="C12" s="1">
        <v>46303</v>
      </c>
      <c r="D12" s="1">
        <v>46310</v>
      </c>
      <c r="E12" s="1">
        <v>46317</v>
      </c>
      <c r="F12" s="1">
        <v>46327</v>
      </c>
      <c r="G12" s="1">
        <v>46334</v>
      </c>
      <c r="H12" s="1">
        <v>46341</v>
      </c>
      <c r="I12" s="1">
        <v>46348</v>
      </c>
      <c r="J12" s="1">
        <v>46357</v>
      </c>
      <c r="K12" s="1">
        <v>46364</v>
      </c>
      <c r="L12" s="1">
        <v>46371</v>
      </c>
      <c r="M12" s="1">
        <v>46378</v>
      </c>
      <c r="N12" s="1">
        <v>46023</v>
      </c>
      <c r="O12" s="1">
        <v>46030</v>
      </c>
      <c r="P12" s="1">
        <v>46037</v>
      </c>
      <c r="Q12" s="1">
        <v>46044</v>
      </c>
      <c r="R12" s="1">
        <v>46054</v>
      </c>
      <c r="S12" s="1">
        <v>46061</v>
      </c>
      <c r="T12" s="1">
        <v>46068</v>
      </c>
      <c r="U12" s="1">
        <v>46075</v>
      </c>
      <c r="V12" s="1">
        <v>46082</v>
      </c>
      <c r="W12" s="1">
        <v>46089</v>
      </c>
      <c r="X12" s="1">
        <v>46096</v>
      </c>
      <c r="Y12" s="1">
        <v>46103</v>
      </c>
    </row>
    <row r="13" spans="1:27" x14ac:dyDescent="0.3">
      <c r="A13" t="s">
        <v>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7" x14ac:dyDescent="0.3">
      <c r="A14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f>SUM(B14:Y14)</f>
        <v>0</v>
      </c>
      <c r="AA14">
        <f>Z14/Z15</f>
        <v>0</v>
      </c>
    </row>
    <row r="15" spans="1:27" x14ac:dyDescent="0.3">
      <c r="A15" t="s">
        <v>2</v>
      </c>
      <c r="B15">
        <v>89</v>
      </c>
      <c r="C15">
        <v>148</v>
      </c>
      <c r="D15">
        <v>86</v>
      </c>
      <c r="E15">
        <v>102</v>
      </c>
      <c r="F15">
        <v>68</v>
      </c>
      <c r="G15">
        <v>91</v>
      </c>
      <c r="H15">
        <v>77</v>
      </c>
      <c r="I15">
        <v>137</v>
      </c>
      <c r="J15">
        <v>91</v>
      </c>
      <c r="K15">
        <v>93</v>
      </c>
      <c r="L15">
        <v>77</v>
      </c>
      <c r="M15">
        <v>83</v>
      </c>
      <c r="N15">
        <v>70</v>
      </c>
      <c r="O15">
        <v>64</v>
      </c>
      <c r="P15">
        <v>59</v>
      </c>
      <c r="Q15">
        <v>87</v>
      </c>
      <c r="R15">
        <v>70</v>
      </c>
      <c r="S15">
        <v>98</v>
      </c>
      <c r="T15">
        <v>91</v>
      </c>
      <c r="U15">
        <v>110</v>
      </c>
      <c r="V15">
        <v>104</v>
      </c>
      <c r="W15">
        <v>72</v>
      </c>
      <c r="X15">
        <v>75</v>
      </c>
      <c r="Y15">
        <v>88</v>
      </c>
      <c r="Z15">
        <f>SUM(B15:Y15)</f>
        <v>2130</v>
      </c>
    </row>
    <row r="16" spans="1:27" x14ac:dyDescent="0.3">
      <c r="A16" t="s">
        <v>0</v>
      </c>
      <c r="B16" t="s">
        <v>6</v>
      </c>
    </row>
    <row r="17" spans="1:27" x14ac:dyDescent="0.3">
      <c r="A17" t="s">
        <v>3</v>
      </c>
      <c r="B17" s="1">
        <v>46296</v>
      </c>
      <c r="C17" s="1">
        <v>46303</v>
      </c>
      <c r="D17" s="1">
        <v>46310</v>
      </c>
      <c r="E17" s="1">
        <v>46317</v>
      </c>
      <c r="F17" s="1">
        <v>46327</v>
      </c>
      <c r="G17" s="1">
        <v>46334</v>
      </c>
      <c r="H17" s="1">
        <v>46341</v>
      </c>
      <c r="I17" s="1">
        <v>46348</v>
      </c>
      <c r="J17" s="1">
        <v>46357</v>
      </c>
      <c r="K17" s="1">
        <v>46364</v>
      </c>
      <c r="L17" s="1">
        <v>46371</v>
      </c>
      <c r="M17" s="1">
        <v>46378</v>
      </c>
      <c r="N17" s="1">
        <v>46023</v>
      </c>
      <c r="O17" s="1">
        <v>46030</v>
      </c>
      <c r="P17" s="1">
        <v>46037</v>
      </c>
      <c r="Q17" s="1">
        <v>46044</v>
      </c>
      <c r="R17" s="1">
        <v>46054</v>
      </c>
      <c r="S17" s="1">
        <v>46061</v>
      </c>
      <c r="T17" s="1">
        <v>46068</v>
      </c>
      <c r="U17" s="1">
        <v>46075</v>
      </c>
      <c r="V17" s="1">
        <v>46082</v>
      </c>
      <c r="W17" s="1">
        <v>46089</v>
      </c>
      <c r="X17" s="1">
        <v>46096</v>
      </c>
      <c r="Y17" s="1">
        <v>46103</v>
      </c>
    </row>
    <row r="18" spans="1:27" x14ac:dyDescent="0.3">
      <c r="A18" t="s">
        <v>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7" x14ac:dyDescent="0.3">
      <c r="A19" t="s">
        <v>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>SUM(B19:Y19)</f>
        <v>0</v>
      </c>
      <c r="AA19">
        <f>Z19/Z20</f>
        <v>0</v>
      </c>
    </row>
    <row r="20" spans="1:27" x14ac:dyDescent="0.3">
      <c r="A20" t="s">
        <v>2</v>
      </c>
      <c r="B20">
        <v>35</v>
      </c>
      <c r="C20">
        <v>35</v>
      </c>
      <c r="D20">
        <v>13</v>
      </c>
      <c r="E20">
        <v>18</v>
      </c>
      <c r="F20">
        <v>34</v>
      </c>
      <c r="G20">
        <v>36</v>
      </c>
      <c r="H20">
        <v>49</v>
      </c>
      <c r="I20">
        <v>73</v>
      </c>
      <c r="J20">
        <v>53</v>
      </c>
      <c r="K20">
        <v>46</v>
      </c>
      <c r="L20">
        <v>53</v>
      </c>
      <c r="M20">
        <v>64</v>
      </c>
      <c r="N20">
        <v>31</v>
      </c>
      <c r="O20">
        <v>33</v>
      </c>
      <c r="P20">
        <v>62</v>
      </c>
      <c r="Q20">
        <v>61</v>
      </c>
      <c r="R20">
        <v>40</v>
      </c>
      <c r="S20">
        <v>49</v>
      </c>
      <c r="T20">
        <v>98</v>
      </c>
      <c r="U20">
        <v>96</v>
      </c>
      <c r="V20">
        <v>129</v>
      </c>
      <c r="W20">
        <v>124</v>
      </c>
      <c r="X20">
        <v>132</v>
      </c>
      <c r="Y20">
        <v>148</v>
      </c>
      <c r="Z20">
        <f>SUM(B20:Y20)</f>
        <v>1512</v>
      </c>
    </row>
    <row r="21" spans="1:27" x14ac:dyDescent="0.3">
      <c r="A21" t="s">
        <v>0</v>
      </c>
      <c r="B21" t="s">
        <v>9</v>
      </c>
    </row>
    <row r="22" spans="1:27" x14ac:dyDescent="0.3">
      <c r="A22" t="s">
        <v>3</v>
      </c>
      <c r="B22" s="1">
        <v>46296</v>
      </c>
      <c r="C22" s="1">
        <v>46303</v>
      </c>
      <c r="D22" s="1">
        <v>46310</v>
      </c>
      <c r="E22" s="1">
        <v>46317</v>
      </c>
      <c r="F22" s="1">
        <v>46327</v>
      </c>
      <c r="G22" s="1">
        <v>46334</v>
      </c>
      <c r="H22" s="1">
        <v>46341</v>
      </c>
      <c r="I22" s="1">
        <v>46348</v>
      </c>
      <c r="J22" s="1">
        <v>46357</v>
      </c>
      <c r="K22" s="1">
        <v>46364</v>
      </c>
      <c r="L22" s="1">
        <v>46371</v>
      </c>
      <c r="M22" s="1">
        <v>46378</v>
      </c>
      <c r="N22" s="1">
        <v>46023</v>
      </c>
      <c r="O22" s="1">
        <v>46030</v>
      </c>
      <c r="P22" s="1">
        <v>46037</v>
      </c>
      <c r="Q22" s="1">
        <v>46044</v>
      </c>
      <c r="R22" s="1">
        <v>46054</v>
      </c>
      <c r="S22" s="1">
        <v>46061</v>
      </c>
      <c r="T22" s="1">
        <v>46068</v>
      </c>
      <c r="U22" s="1">
        <v>46075</v>
      </c>
      <c r="V22" s="1">
        <v>46082</v>
      </c>
      <c r="W22" s="1">
        <v>46089</v>
      </c>
      <c r="X22" s="1">
        <v>46096</v>
      </c>
      <c r="Y22" s="1">
        <v>46103</v>
      </c>
    </row>
    <row r="23" spans="1:27" x14ac:dyDescent="0.3">
      <c r="A23" t="s">
        <v>58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7" x14ac:dyDescent="0.3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>SUM(B24:Y24)</f>
        <v>0</v>
      </c>
      <c r="AA24">
        <f>Z24/Z25</f>
        <v>0</v>
      </c>
    </row>
    <row r="25" spans="1:27" x14ac:dyDescent="0.3">
      <c r="A25" t="s">
        <v>2</v>
      </c>
      <c r="B25">
        <v>2</v>
      </c>
      <c r="C25">
        <v>9</v>
      </c>
      <c r="D25">
        <v>5</v>
      </c>
      <c r="E25">
        <v>3</v>
      </c>
      <c r="F25">
        <v>18</v>
      </c>
      <c r="G25">
        <v>21</v>
      </c>
      <c r="H25">
        <v>6</v>
      </c>
      <c r="I25">
        <v>22</v>
      </c>
      <c r="J25">
        <v>28</v>
      </c>
      <c r="K25">
        <v>8</v>
      </c>
      <c r="L25">
        <v>16</v>
      </c>
      <c r="M25">
        <v>27</v>
      </c>
      <c r="N25">
        <v>7</v>
      </c>
      <c r="O25">
        <v>5</v>
      </c>
      <c r="P25">
        <v>3</v>
      </c>
      <c r="Q25">
        <v>6</v>
      </c>
      <c r="R25">
        <v>11</v>
      </c>
      <c r="S25">
        <v>3</v>
      </c>
      <c r="T25">
        <v>5</v>
      </c>
      <c r="U25">
        <v>2</v>
      </c>
      <c r="V25">
        <v>7</v>
      </c>
      <c r="W25">
        <v>11</v>
      </c>
      <c r="X25">
        <v>15</v>
      </c>
      <c r="Y25">
        <v>16</v>
      </c>
      <c r="Z25">
        <f>SUM(B25:Y25)</f>
        <v>256</v>
      </c>
    </row>
    <row r="26" spans="1:27" x14ac:dyDescent="0.3">
      <c r="A26" t="s">
        <v>0</v>
      </c>
      <c r="B26" t="s">
        <v>7</v>
      </c>
    </row>
    <row r="27" spans="1:27" x14ac:dyDescent="0.3">
      <c r="A27" t="s">
        <v>3</v>
      </c>
      <c r="B27" s="1">
        <v>46296</v>
      </c>
      <c r="C27" s="1">
        <v>46303</v>
      </c>
      <c r="D27" s="1">
        <v>46310</v>
      </c>
      <c r="E27" s="1">
        <v>46317</v>
      </c>
      <c r="F27" s="1">
        <v>46327</v>
      </c>
      <c r="G27" s="1">
        <v>46334</v>
      </c>
      <c r="H27" s="1">
        <v>46341</v>
      </c>
      <c r="I27" s="1">
        <v>46348</v>
      </c>
      <c r="J27" s="1">
        <v>46357</v>
      </c>
      <c r="K27" s="1">
        <v>46364</v>
      </c>
      <c r="L27" s="1">
        <v>46371</v>
      </c>
      <c r="M27" s="1">
        <v>46378</v>
      </c>
      <c r="N27" s="1">
        <v>46023</v>
      </c>
      <c r="O27" s="1">
        <v>46030</v>
      </c>
      <c r="P27" s="1">
        <v>46037</v>
      </c>
      <c r="Q27" s="1">
        <v>46044</v>
      </c>
      <c r="R27" s="1">
        <v>46054</v>
      </c>
      <c r="S27" s="1">
        <v>46061</v>
      </c>
      <c r="T27" s="1">
        <v>46068</v>
      </c>
      <c r="U27" s="1">
        <v>46075</v>
      </c>
      <c r="V27" s="1">
        <v>46082</v>
      </c>
      <c r="W27" s="1">
        <v>46089</v>
      </c>
      <c r="X27" s="1">
        <v>46096</v>
      </c>
      <c r="Y27" s="1">
        <v>46103</v>
      </c>
    </row>
    <row r="28" spans="1:27" x14ac:dyDescent="0.3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7" x14ac:dyDescent="0.3">
      <c r="A29" t="s">
        <v>48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>SUM(B29:Y29)</f>
        <v>0</v>
      </c>
      <c r="AA29">
        <f>Z29/Z30</f>
        <v>0</v>
      </c>
    </row>
    <row r="30" spans="1:27" x14ac:dyDescent="0.3">
      <c r="A30" t="s">
        <v>2</v>
      </c>
      <c r="B30">
        <v>12</v>
      </c>
      <c r="C30">
        <v>16</v>
      </c>
      <c r="D30">
        <v>13</v>
      </c>
      <c r="E30">
        <v>12</v>
      </c>
      <c r="F30">
        <v>7</v>
      </c>
      <c r="G30">
        <v>7</v>
      </c>
      <c r="H30">
        <v>23</v>
      </c>
      <c r="I30">
        <v>20</v>
      </c>
      <c r="J30">
        <v>3</v>
      </c>
      <c r="K30">
        <v>7</v>
      </c>
      <c r="L30">
        <v>24</v>
      </c>
      <c r="M30">
        <v>10</v>
      </c>
      <c r="N30">
        <v>12</v>
      </c>
      <c r="O30">
        <v>18</v>
      </c>
      <c r="P30">
        <v>25</v>
      </c>
      <c r="Q30">
        <v>26</v>
      </c>
      <c r="R30">
        <v>6</v>
      </c>
      <c r="S30">
        <v>9</v>
      </c>
      <c r="T30">
        <v>10</v>
      </c>
      <c r="U30">
        <v>18</v>
      </c>
      <c r="V30">
        <v>17</v>
      </c>
      <c r="W30">
        <v>20</v>
      </c>
      <c r="X30">
        <v>11</v>
      </c>
      <c r="Y30">
        <v>34</v>
      </c>
      <c r="Z30">
        <f>SUM(B30:Y30)</f>
        <v>360</v>
      </c>
    </row>
    <row r="31" spans="1:27" x14ac:dyDescent="0.3">
      <c r="A31" t="s">
        <v>0</v>
      </c>
      <c r="B31" t="s">
        <v>8</v>
      </c>
    </row>
    <row r="32" spans="1:27" x14ac:dyDescent="0.3">
      <c r="A32" t="s">
        <v>3</v>
      </c>
      <c r="B32" s="1">
        <v>46296</v>
      </c>
      <c r="C32" s="1">
        <v>46303</v>
      </c>
      <c r="D32" s="1">
        <v>46310</v>
      </c>
      <c r="E32" s="1">
        <v>46317</v>
      </c>
      <c r="F32" s="1">
        <v>46327</v>
      </c>
      <c r="G32" s="1">
        <v>46334</v>
      </c>
      <c r="H32" s="1">
        <v>46341</v>
      </c>
      <c r="I32" s="1">
        <v>46348</v>
      </c>
      <c r="J32" s="1">
        <v>46357</v>
      </c>
      <c r="K32" s="1">
        <v>46364</v>
      </c>
      <c r="L32" s="1">
        <v>46371</v>
      </c>
      <c r="M32" s="1">
        <v>46378</v>
      </c>
      <c r="N32" s="1">
        <v>46023</v>
      </c>
      <c r="O32" s="1">
        <v>46030</v>
      </c>
      <c r="P32" s="1">
        <v>46037</v>
      </c>
      <c r="Q32" s="1">
        <v>46044</v>
      </c>
      <c r="R32" s="1">
        <v>46054</v>
      </c>
      <c r="S32" s="1">
        <v>46061</v>
      </c>
      <c r="T32" s="1">
        <v>46068</v>
      </c>
      <c r="U32" s="1">
        <v>46075</v>
      </c>
      <c r="V32" s="1">
        <v>46082</v>
      </c>
      <c r="W32" s="1">
        <v>46089</v>
      </c>
      <c r="X32" s="1">
        <v>46096</v>
      </c>
      <c r="Y32" s="1">
        <v>46103</v>
      </c>
    </row>
    <row r="33" spans="1:27" x14ac:dyDescent="0.3">
      <c r="A33" t="s">
        <v>58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7" x14ac:dyDescent="0.3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f>SUM(B34:Y34)</f>
        <v>0</v>
      </c>
      <c r="AA34">
        <f>Z34/Z35</f>
        <v>0</v>
      </c>
    </row>
    <row r="35" spans="1:27" x14ac:dyDescent="0.3">
      <c r="A35" t="s">
        <v>2</v>
      </c>
      <c r="B35">
        <v>16</v>
      </c>
      <c r="C35">
        <v>21</v>
      </c>
      <c r="D35">
        <v>6</v>
      </c>
      <c r="E35">
        <v>25</v>
      </c>
      <c r="F35">
        <v>22</v>
      </c>
      <c r="G35">
        <v>16</v>
      </c>
      <c r="H35">
        <v>12</v>
      </c>
      <c r="I35">
        <v>15</v>
      </c>
      <c r="J35">
        <v>8</v>
      </c>
      <c r="K35">
        <v>3</v>
      </c>
      <c r="L35">
        <v>6</v>
      </c>
      <c r="M35">
        <v>7</v>
      </c>
      <c r="N35">
        <v>6</v>
      </c>
      <c r="O35">
        <v>5</v>
      </c>
      <c r="P35">
        <v>25</v>
      </c>
      <c r="Q35">
        <v>9</v>
      </c>
      <c r="R35">
        <v>20</v>
      </c>
      <c r="S35">
        <v>22</v>
      </c>
      <c r="T35">
        <v>5</v>
      </c>
      <c r="U35">
        <v>5</v>
      </c>
      <c r="V35">
        <v>4</v>
      </c>
      <c r="W35">
        <v>3</v>
      </c>
      <c r="X35">
        <v>6</v>
      </c>
      <c r="Y35">
        <v>14</v>
      </c>
      <c r="Z35">
        <f>SUM(B35:Y35)</f>
        <v>281</v>
      </c>
    </row>
    <row r="36" spans="1:27" x14ac:dyDescent="0.3">
      <c r="A36" t="s">
        <v>0</v>
      </c>
      <c r="B36" t="s">
        <v>10</v>
      </c>
    </row>
    <row r="37" spans="1:27" x14ac:dyDescent="0.3">
      <c r="A37" t="s">
        <v>3</v>
      </c>
      <c r="B37" s="1">
        <v>46296</v>
      </c>
      <c r="C37" s="1">
        <v>46303</v>
      </c>
      <c r="D37" s="1">
        <v>46310</v>
      </c>
      <c r="E37" s="1">
        <v>46317</v>
      </c>
      <c r="F37" s="1">
        <v>46327</v>
      </c>
      <c r="G37" s="1">
        <v>46334</v>
      </c>
      <c r="H37" s="1">
        <v>46341</v>
      </c>
      <c r="I37" s="1">
        <v>46348</v>
      </c>
      <c r="J37" s="1">
        <v>46357</v>
      </c>
      <c r="K37" s="1">
        <v>46364</v>
      </c>
      <c r="L37" s="1">
        <v>46371</v>
      </c>
      <c r="M37" s="1">
        <v>46378</v>
      </c>
      <c r="N37" s="1">
        <v>46023</v>
      </c>
      <c r="O37" s="1">
        <v>46030</v>
      </c>
      <c r="P37" s="1">
        <v>46037</v>
      </c>
      <c r="Q37" s="1">
        <v>46044</v>
      </c>
      <c r="R37" s="1">
        <v>46054</v>
      </c>
      <c r="S37" s="1">
        <v>46061</v>
      </c>
      <c r="T37" s="1">
        <v>46068</v>
      </c>
      <c r="U37" s="1">
        <v>46075</v>
      </c>
      <c r="V37" s="1">
        <v>46082</v>
      </c>
      <c r="W37" s="1">
        <v>46089</v>
      </c>
      <c r="X37" s="1">
        <v>46096</v>
      </c>
      <c r="Y37" s="1">
        <v>46103</v>
      </c>
    </row>
    <row r="38" spans="1:27" x14ac:dyDescent="0.3">
      <c r="A38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7" x14ac:dyDescent="0.3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f>SUM(B39:Y39)</f>
        <v>0</v>
      </c>
      <c r="AA39">
        <f>Z39/Z40</f>
        <v>0</v>
      </c>
    </row>
    <row r="40" spans="1:27" x14ac:dyDescent="0.3">
      <c r="A40" t="s">
        <v>2</v>
      </c>
      <c r="B40">
        <v>0</v>
      </c>
      <c r="C40">
        <v>2</v>
      </c>
      <c r="D40">
        <v>7</v>
      </c>
      <c r="E40">
        <v>18</v>
      </c>
      <c r="F40">
        <v>0</v>
      </c>
      <c r="G40">
        <v>0</v>
      </c>
      <c r="H40">
        <v>5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2</v>
      </c>
      <c r="R40">
        <v>2</v>
      </c>
      <c r="S40">
        <v>0</v>
      </c>
      <c r="T40">
        <v>0</v>
      </c>
      <c r="U40">
        <v>37</v>
      </c>
      <c r="V40">
        <v>29</v>
      </c>
      <c r="W40">
        <v>9</v>
      </c>
      <c r="X40">
        <v>0</v>
      </c>
      <c r="Y40">
        <v>0</v>
      </c>
      <c r="Z40">
        <f>SUM(B40:Y40)</f>
        <v>113</v>
      </c>
    </row>
    <row r="41" spans="1:27" x14ac:dyDescent="0.3">
      <c r="A41" t="s">
        <v>0</v>
      </c>
      <c r="B41" t="s">
        <v>11</v>
      </c>
    </row>
    <row r="42" spans="1:27" x14ac:dyDescent="0.3">
      <c r="A42" t="s">
        <v>3</v>
      </c>
      <c r="B42" s="1">
        <v>46296</v>
      </c>
      <c r="C42" s="1">
        <v>46303</v>
      </c>
      <c r="D42" s="1">
        <v>46310</v>
      </c>
      <c r="E42" s="1">
        <v>46317</v>
      </c>
      <c r="F42" s="1">
        <v>46327</v>
      </c>
      <c r="G42" s="1">
        <v>46334</v>
      </c>
      <c r="H42" s="1">
        <v>46341</v>
      </c>
      <c r="I42" s="1">
        <v>46348</v>
      </c>
      <c r="J42" s="1">
        <v>46357</v>
      </c>
      <c r="K42" s="1">
        <v>46364</v>
      </c>
      <c r="L42" s="1">
        <v>46371</v>
      </c>
      <c r="M42" s="1">
        <v>46378</v>
      </c>
      <c r="N42" s="1">
        <v>46023</v>
      </c>
      <c r="O42" s="1">
        <v>46030</v>
      </c>
      <c r="P42" s="1">
        <v>46037</v>
      </c>
      <c r="Q42" s="1">
        <v>46044</v>
      </c>
      <c r="R42" s="1">
        <v>46054</v>
      </c>
      <c r="S42" s="1">
        <v>46061</v>
      </c>
      <c r="T42" s="1">
        <v>46068</v>
      </c>
      <c r="U42" s="1">
        <v>46075</v>
      </c>
      <c r="V42" s="1">
        <v>46082</v>
      </c>
      <c r="W42" s="1">
        <v>46089</v>
      </c>
      <c r="X42" s="1">
        <v>46096</v>
      </c>
      <c r="Y42" s="1">
        <v>46103</v>
      </c>
    </row>
    <row r="43" spans="1:27" x14ac:dyDescent="0.3">
      <c r="A43" t="s">
        <v>58</v>
      </c>
      <c r="B43">
        <v>0.29850746268656703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0.31545741324921101</v>
      </c>
      <c r="K43">
        <v>0.39840637450199201</v>
      </c>
      <c r="L43">
        <v>0</v>
      </c>
      <c r="M43">
        <v>0.35587188612099602</v>
      </c>
      <c r="N43">
        <v>0</v>
      </c>
      <c r="O43">
        <v>1.0695187165775399</v>
      </c>
      <c r="P43">
        <v>0.38461538461538403</v>
      </c>
      <c r="Q43">
        <v>0.21186440677966101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7" x14ac:dyDescent="0.3">
      <c r="A44" t="s">
        <v>48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0</v>
      </c>
      <c r="M44">
        <v>2</v>
      </c>
      <c r="N44">
        <v>0</v>
      </c>
      <c r="O44">
        <v>2</v>
      </c>
      <c r="P44">
        <v>2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f>SUM(B44:Y44)</f>
        <v>11</v>
      </c>
      <c r="AA44">
        <f>Z44/Z45</f>
        <v>1.148105625717566E-3</v>
      </c>
    </row>
    <row r="45" spans="1:27" x14ac:dyDescent="0.3">
      <c r="A45" t="s">
        <v>2</v>
      </c>
      <c r="B45">
        <v>335</v>
      </c>
      <c r="C45">
        <v>374</v>
      </c>
      <c r="D45">
        <v>363</v>
      </c>
      <c r="E45">
        <v>411</v>
      </c>
      <c r="F45">
        <v>299</v>
      </c>
      <c r="G45">
        <v>309</v>
      </c>
      <c r="H45">
        <v>283</v>
      </c>
      <c r="I45">
        <v>491</v>
      </c>
      <c r="J45">
        <v>317</v>
      </c>
      <c r="K45">
        <v>251</v>
      </c>
      <c r="L45">
        <v>313</v>
      </c>
      <c r="M45">
        <v>562</v>
      </c>
      <c r="N45">
        <v>288</v>
      </c>
      <c r="O45">
        <v>187</v>
      </c>
      <c r="P45">
        <v>260</v>
      </c>
      <c r="Q45">
        <v>472</v>
      </c>
      <c r="R45">
        <v>265</v>
      </c>
      <c r="S45">
        <v>313</v>
      </c>
      <c r="T45">
        <v>439</v>
      </c>
      <c r="U45">
        <v>533</v>
      </c>
      <c r="V45">
        <v>517</v>
      </c>
      <c r="W45">
        <v>565</v>
      </c>
      <c r="X45">
        <v>587</v>
      </c>
      <c r="Y45">
        <v>847</v>
      </c>
      <c r="Z45">
        <f>SUM(B45:Y45)</f>
        <v>9581</v>
      </c>
    </row>
    <row r="46" spans="1:27" x14ac:dyDescent="0.3">
      <c r="A46" t="s">
        <v>0</v>
      </c>
      <c r="B46" t="s">
        <v>12</v>
      </c>
    </row>
    <row r="47" spans="1:27" x14ac:dyDescent="0.3">
      <c r="A47" t="s">
        <v>3</v>
      </c>
      <c r="B47" s="1">
        <v>46296</v>
      </c>
      <c r="C47" s="1">
        <v>46303</v>
      </c>
      <c r="D47" s="1">
        <v>46310</v>
      </c>
      <c r="E47" s="1">
        <v>46317</v>
      </c>
      <c r="F47" s="1">
        <v>46327</v>
      </c>
      <c r="G47" s="1">
        <v>46334</v>
      </c>
      <c r="H47" s="1">
        <v>46341</v>
      </c>
      <c r="I47" s="1">
        <v>46348</v>
      </c>
      <c r="J47" s="1">
        <v>46357</v>
      </c>
      <c r="K47" s="1">
        <v>46364</v>
      </c>
      <c r="L47" s="1">
        <v>46371</v>
      </c>
      <c r="M47" s="1">
        <v>46378</v>
      </c>
      <c r="N47" s="1">
        <v>46023</v>
      </c>
      <c r="O47" s="1">
        <v>46030</v>
      </c>
      <c r="P47" s="1">
        <v>46037</v>
      </c>
      <c r="Q47" s="1">
        <v>46044</v>
      </c>
      <c r="R47" s="1">
        <v>46054</v>
      </c>
      <c r="S47" s="1">
        <v>46061</v>
      </c>
      <c r="T47" s="1">
        <v>46068</v>
      </c>
      <c r="U47" s="1">
        <v>46075</v>
      </c>
      <c r="V47" s="1">
        <v>46082</v>
      </c>
      <c r="W47" s="1">
        <v>46089</v>
      </c>
      <c r="X47" s="1">
        <v>46096</v>
      </c>
      <c r="Y47" s="1">
        <v>46103</v>
      </c>
    </row>
    <row r="48" spans="1:27" x14ac:dyDescent="0.3">
      <c r="A48" t="s">
        <v>58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7" x14ac:dyDescent="0.3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f>SUM(B49:Y49)</f>
        <v>0</v>
      </c>
      <c r="AA49">
        <f>Z49/Z50</f>
        <v>0</v>
      </c>
    </row>
    <row r="50" spans="1:27" x14ac:dyDescent="0.3">
      <c r="A50" t="s">
        <v>2</v>
      </c>
      <c r="B50">
        <v>299</v>
      </c>
      <c r="C50">
        <v>362</v>
      </c>
      <c r="D50">
        <v>300</v>
      </c>
      <c r="E50">
        <v>582</v>
      </c>
      <c r="F50">
        <v>563</v>
      </c>
      <c r="G50">
        <v>653</v>
      </c>
      <c r="H50">
        <v>689</v>
      </c>
      <c r="I50">
        <v>826</v>
      </c>
      <c r="J50">
        <v>644</v>
      </c>
      <c r="K50">
        <v>389</v>
      </c>
      <c r="L50">
        <v>312</v>
      </c>
      <c r="M50">
        <v>444</v>
      </c>
      <c r="N50">
        <v>222</v>
      </c>
      <c r="O50">
        <v>284</v>
      </c>
      <c r="P50">
        <v>375</v>
      </c>
      <c r="Q50">
        <v>550</v>
      </c>
      <c r="R50">
        <v>460</v>
      </c>
      <c r="S50">
        <v>536</v>
      </c>
      <c r="T50">
        <v>610</v>
      </c>
      <c r="U50">
        <v>456</v>
      </c>
      <c r="V50">
        <v>342</v>
      </c>
      <c r="W50">
        <v>396</v>
      </c>
      <c r="X50">
        <v>365</v>
      </c>
      <c r="Y50">
        <v>289</v>
      </c>
      <c r="Z50">
        <f>SUM(B50:Y50)</f>
        <v>10948</v>
      </c>
    </row>
    <row r="51" spans="1:27" x14ac:dyDescent="0.3">
      <c r="A51" t="s">
        <v>0</v>
      </c>
      <c r="B51" t="s">
        <v>12</v>
      </c>
    </row>
    <row r="52" spans="1:27" x14ac:dyDescent="0.3">
      <c r="A52" t="s">
        <v>3</v>
      </c>
      <c r="B52" s="1">
        <v>46296</v>
      </c>
      <c r="C52" s="1">
        <v>46303</v>
      </c>
      <c r="D52" s="1">
        <v>46310</v>
      </c>
      <c r="E52" s="1">
        <v>46317</v>
      </c>
      <c r="F52" s="1">
        <v>46327</v>
      </c>
      <c r="G52" s="1">
        <v>46334</v>
      </c>
      <c r="H52" s="1">
        <v>46341</v>
      </c>
      <c r="I52" s="1">
        <v>46348</v>
      </c>
      <c r="J52" s="1">
        <v>46357</v>
      </c>
      <c r="K52" s="1">
        <v>46364</v>
      </c>
      <c r="L52" s="1">
        <v>46371</v>
      </c>
      <c r="M52" s="1">
        <v>46378</v>
      </c>
      <c r="N52" s="1">
        <v>46023</v>
      </c>
      <c r="O52" s="1">
        <v>46030</v>
      </c>
      <c r="P52" s="1">
        <v>46037</v>
      </c>
      <c r="Q52" s="1">
        <v>46044</v>
      </c>
      <c r="R52" s="1">
        <v>46054</v>
      </c>
      <c r="S52" s="1">
        <v>46061</v>
      </c>
      <c r="T52" s="1">
        <v>46068</v>
      </c>
      <c r="U52" s="1">
        <v>46075</v>
      </c>
      <c r="V52" s="1">
        <v>46082</v>
      </c>
      <c r="W52" s="1">
        <v>46089</v>
      </c>
      <c r="X52" s="1">
        <v>46096</v>
      </c>
      <c r="Y52" s="1">
        <v>46103</v>
      </c>
    </row>
    <row r="53" spans="1:27" x14ac:dyDescent="0.3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7" x14ac:dyDescent="0.3">
      <c r="A54" t="s">
        <v>48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f>SUM(B54:Y54)</f>
        <v>0</v>
      </c>
      <c r="AA54">
        <f>Z54/Z55</f>
        <v>0</v>
      </c>
    </row>
    <row r="55" spans="1:27" x14ac:dyDescent="0.3">
      <c r="A55" t="s">
        <v>2</v>
      </c>
      <c r="B55">
        <v>299</v>
      </c>
      <c r="C55">
        <v>362</v>
      </c>
      <c r="D55">
        <v>300</v>
      </c>
      <c r="E55">
        <v>582</v>
      </c>
      <c r="F55">
        <v>563</v>
      </c>
      <c r="G55">
        <v>653</v>
      </c>
      <c r="H55">
        <v>689</v>
      </c>
      <c r="I55">
        <v>826</v>
      </c>
      <c r="J55">
        <v>644</v>
      </c>
      <c r="K55">
        <v>389</v>
      </c>
      <c r="L55">
        <v>312</v>
      </c>
      <c r="M55">
        <v>444</v>
      </c>
      <c r="N55">
        <v>222</v>
      </c>
      <c r="O55">
        <v>284</v>
      </c>
      <c r="P55">
        <v>375</v>
      </c>
      <c r="Q55">
        <v>550</v>
      </c>
      <c r="R55">
        <v>460</v>
      </c>
      <c r="S55">
        <v>536</v>
      </c>
      <c r="T55">
        <v>610</v>
      </c>
      <c r="U55">
        <v>456</v>
      </c>
      <c r="V55">
        <v>342</v>
      </c>
      <c r="W55">
        <v>396</v>
      </c>
      <c r="X55">
        <v>365</v>
      </c>
      <c r="Y55">
        <v>289</v>
      </c>
      <c r="Z55">
        <f>SUM(B55:Y55)</f>
        <v>10948</v>
      </c>
    </row>
    <row r="56" spans="1:27" x14ac:dyDescent="0.3">
      <c r="A56" t="s">
        <v>0</v>
      </c>
      <c r="B56" t="s">
        <v>13</v>
      </c>
    </row>
    <row r="57" spans="1:27" x14ac:dyDescent="0.3">
      <c r="A57" t="s">
        <v>3</v>
      </c>
      <c r="B57" s="1">
        <v>46296</v>
      </c>
      <c r="C57" s="1">
        <v>46303</v>
      </c>
      <c r="D57" s="1">
        <v>46310</v>
      </c>
      <c r="E57" s="1">
        <v>46317</v>
      </c>
      <c r="F57" s="1">
        <v>46327</v>
      </c>
      <c r="G57" s="1">
        <v>46334</v>
      </c>
      <c r="H57" s="1">
        <v>46341</v>
      </c>
      <c r="I57" s="1">
        <v>46348</v>
      </c>
      <c r="J57" s="1">
        <v>46357</v>
      </c>
      <c r="K57" s="1">
        <v>46364</v>
      </c>
      <c r="L57" s="1">
        <v>46371</v>
      </c>
      <c r="M57" s="1">
        <v>46378</v>
      </c>
      <c r="N57" s="1">
        <v>46023</v>
      </c>
      <c r="O57" s="1">
        <v>46030</v>
      </c>
      <c r="P57" s="1">
        <v>46037</v>
      </c>
      <c r="Q57" s="1">
        <v>46044</v>
      </c>
      <c r="R57" s="1">
        <v>46054</v>
      </c>
      <c r="S57" s="1">
        <v>46061</v>
      </c>
      <c r="T57" s="1">
        <v>46068</v>
      </c>
      <c r="U57" s="1">
        <v>46075</v>
      </c>
      <c r="V57" s="1">
        <v>46082</v>
      </c>
      <c r="W57" s="1">
        <v>46089</v>
      </c>
      <c r="X57" s="1">
        <v>46096</v>
      </c>
      <c r="Y57" s="1">
        <v>46103</v>
      </c>
    </row>
    <row r="58" spans="1:27" x14ac:dyDescent="0.3">
      <c r="A58" t="s">
        <v>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7" x14ac:dyDescent="0.3">
      <c r="A59" t="s">
        <v>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f>SUM(B59:Y59)</f>
        <v>0</v>
      </c>
      <c r="AA59">
        <f>Z59/Z60</f>
        <v>0</v>
      </c>
    </row>
    <row r="60" spans="1:27" x14ac:dyDescent="0.3">
      <c r="A60" t="s">
        <v>2</v>
      </c>
      <c r="B60">
        <v>3</v>
      </c>
      <c r="C60">
        <v>18</v>
      </c>
      <c r="D60">
        <v>7</v>
      </c>
      <c r="E60">
        <v>19</v>
      </c>
      <c r="F60">
        <v>11</v>
      </c>
      <c r="G60">
        <v>3</v>
      </c>
      <c r="H60">
        <v>2</v>
      </c>
      <c r="I60">
        <v>6</v>
      </c>
      <c r="J60">
        <v>3</v>
      </c>
      <c r="K60">
        <v>10</v>
      </c>
      <c r="L60">
        <v>9</v>
      </c>
      <c r="M60">
        <v>0</v>
      </c>
      <c r="N60">
        <v>3</v>
      </c>
      <c r="O60">
        <v>7</v>
      </c>
      <c r="P60">
        <v>27</v>
      </c>
      <c r="Q60">
        <v>50</v>
      </c>
      <c r="R60">
        <v>1</v>
      </c>
      <c r="S60">
        <v>3</v>
      </c>
      <c r="T60">
        <v>6</v>
      </c>
      <c r="U60">
        <v>5</v>
      </c>
      <c r="V60">
        <v>4</v>
      </c>
      <c r="W60">
        <v>10</v>
      </c>
      <c r="X60">
        <v>13</v>
      </c>
      <c r="Y60">
        <v>43</v>
      </c>
      <c r="Z60">
        <f>SUM(B60:Y60)</f>
        <v>263</v>
      </c>
    </row>
    <row r="61" spans="1:27" x14ac:dyDescent="0.3">
      <c r="A61" t="s">
        <v>0</v>
      </c>
      <c r="B61" t="s">
        <v>14</v>
      </c>
    </row>
    <row r="62" spans="1:27" x14ac:dyDescent="0.3">
      <c r="A62" t="s">
        <v>3</v>
      </c>
      <c r="B62" s="1">
        <v>46296</v>
      </c>
      <c r="C62" s="1">
        <v>46303</v>
      </c>
      <c r="D62" s="1">
        <v>46310</v>
      </c>
      <c r="E62" s="1">
        <v>46317</v>
      </c>
      <c r="F62" s="1">
        <v>46327</v>
      </c>
      <c r="G62" s="1">
        <v>46334</v>
      </c>
      <c r="H62" s="1">
        <v>46341</v>
      </c>
      <c r="I62" s="1">
        <v>46348</v>
      </c>
      <c r="J62" s="1">
        <v>46357</v>
      </c>
      <c r="K62" s="1">
        <v>46364</v>
      </c>
      <c r="L62" s="1">
        <v>46371</v>
      </c>
      <c r="M62" s="1">
        <v>46378</v>
      </c>
      <c r="N62" s="1">
        <v>46023</v>
      </c>
      <c r="O62" s="1">
        <v>46030</v>
      </c>
      <c r="P62" s="1">
        <v>46037</v>
      </c>
      <c r="Q62" s="1">
        <v>46044</v>
      </c>
      <c r="R62" s="1">
        <v>46054</v>
      </c>
      <c r="S62" s="1">
        <v>46061</v>
      </c>
      <c r="T62" s="1">
        <v>46068</v>
      </c>
      <c r="U62" s="1">
        <v>46075</v>
      </c>
      <c r="V62" s="1">
        <v>46082</v>
      </c>
      <c r="W62" s="1">
        <v>46089</v>
      </c>
      <c r="X62" s="1">
        <v>46096</v>
      </c>
      <c r="Y62" s="1">
        <v>46103</v>
      </c>
    </row>
    <row r="63" spans="1:27" x14ac:dyDescent="0.3">
      <c r="A63" t="s">
        <v>58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7" x14ac:dyDescent="0.3">
      <c r="A64" t="s">
        <v>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f>SUM(B64:Y64)</f>
        <v>0</v>
      </c>
      <c r="AA64">
        <f>Z64/Z65</f>
        <v>0</v>
      </c>
    </row>
    <row r="65" spans="1:27" x14ac:dyDescent="0.3">
      <c r="A65" t="s">
        <v>2</v>
      </c>
      <c r="B65">
        <v>1618</v>
      </c>
      <c r="C65">
        <v>2940</v>
      </c>
      <c r="D65">
        <v>2145</v>
      </c>
      <c r="E65">
        <v>2530</v>
      </c>
      <c r="F65">
        <v>2460</v>
      </c>
      <c r="G65">
        <v>2424</v>
      </c>
      <c r="H65">
        <v>2241</v>
      </c>
      <c r="I65">
        <v>2272</v>
      </c>
      <c r="J65">
        <v>1600</v>
      </c>
      <c r="K65">
        <v>1587</v>
      </c>
      <c r="L65">
        <v>1412</v>
      </c>
      <c r="M65">
        <v>2238</v>
      </c>
      <c r="N65">
        <v>1399</v>
      </c>
      <c r="O65">
        <v>1589</v>
      </c>
      <c r="P65">
        <v>1708</v>
      </c>
      <c r="Q65">
        <v>2211</v>
      </c>
      <c r="R65">
        <v>1869</v>
      </c>
      <c r="S65">
        <v>2066</v>
      </c>
      <c r="T65">
        <v>1934</v>
      </c>
      <c r="U65">
        <v>1688</v>
      </c>
      <c r="V65">
        <v>1259</v>
      </c>
      <c r="W65">
        <v>1293</v>
      </c>
      <c r="X65">
        <v>1281</v>
      </c>
      <c r="Y65">
        <v>1959</v>
      </c>
      <c r="Z65">
        <f>SUM(B65:Y65)</f>
        <v>45723</v>
      </c>
    </row>
    <row r="66" spans="1:27" x14ac:dyDescent="0.3">
      <c r="A66" t="s">
        <v>0</v>
      </c>
      <c r="B66" t="s">
        <v>15</v>
      </c>
    </row>
    <row r="67" spans="1:27" x14ac:dyDescent="0.3">
      <c r="A67" t="s">
        <v>3</v>
      </c>
      <c r="B67" s="1">
        <v>46296</v>
      </c>
      <c r="C67" s="1">
        <v>46303</v>
      </c>
      <c r="D67" s="1">
        <v>46310</v>
      </c>
      <c r="E67" s="1">
        <v>46317</v>
      </c>
      <c r="F67" s="1">
        <v>46327</v>
      </c>
      <c r="G67" s="1">
        <v>46334</v>
      </c>
      <c r="H67" s="1">
        <v>46341</v>
      </c>
      <c r="I67" s="1">
        <v>46348</v>
      </c>
      <c r="J67" s="1">
        <v>46357</v>
      </c>
      <c r="K67" s="1">
        <v>46364</v>
      </c>
      <c r="L67" s="1">
        <v>46371</v>
      </c>
      <c r="M67" s="1">
        <v>46378</v>
      </c>
      <c r="N67" s="1">
        <v>46023</v>
      </c>
      <c r="O67" s="1">
        <v>46030</v>
      </c>
      <c r="P67" s="1">
        <v>46037</v>
      </c>
      <c r="Q67" s="1">
        <v>46044</v>
      </c>
      <c r="R67" s="1">
        <v>46054</v>
      </c>
      <c r="S67" s="1">
        <v>46061</v>
      </c>
      <c r="T67" s="1">
        <v>46068</v>
      </c>
      <c r="U67" s="1">
        <v>46075</v>
      </c>
      <c r="V67" s="1">
        <v>46082</v>
      </c>
      <c r="W67" s="1">
        <v>46089</v>
      </c>
      <c r="X67" s="1">
        <v>46096</v>
      </c>
      <c r="Y67" s="1">
        <v>46103</v>
      </c>
    </row>
    <row r="68" spans="1:27" x14ac:dyDescent="0.3">
      <c r="A68" t="s">
        <v>58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7" x14ac:dyDescent="0.3">
      <c r="A69" t="s">
        <v>48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f>SUM(B69:Y69)</f>
        <v>0</v>
      </c>
      <c r="AA69">
        <f>Z69/Z70</f>
        <v>0</v>
      </c>
    </row>
    <row r="70" spans="1:27" x14ac:dyDescent="0.3">
      <c r="A70" t="s">
        <v>2</v>
      </c>
      <c r="B70">
        <v>841</v>
      </c>
      <c r="C70">
        <v>986</v>
      </c>
      <c r="D70">
        <v>771</v>
      </c>
      <c r="E70">
        <v>1131</v>
      </c>
      <c r="F70">
        <v>867</v>
      </c>
      <c r="G70">
        <v>821</v>
      </c>
      <c r="H70">
        <v>796</v>
      </c>
      <c r="I70">
        <v>1231</v>
      </c>
      <c r="J70">
        <v>1155</v>
      </c>
      <c r="K70">
        <v>1252</v>
      </c>
      <c r="L70">
        <v>782</v>
      </c>
      <c r="M70">
        <v>1251</v>
      </c>
      <c r="N70">
        <v>715</v>
      </c>
      <c r="O70">
        <v>798</v>
      </c>
      <c r="P70">
        <v>973</v>
      </c>
      <c r="Q70">
        <v>1474</v>
      </c>
      <c r="R70">
        <v>1017</v>
      </c>
      <c r="S70">
        <v>913</v>
      </c>
      <c r="T70">
        <v>1098</v>
      </c>
      <c r="U70">
        <v>1252</v>
      </c>
      <c r="V70">
        <v>1141</v>
      </c>
      <c r="W70">
        <v>1092</v>
      </c>
      <c r="X70">
        <v>1099</v>
      </c>
      <c r="Y70">
        <v>2163</v>
      </c>
      <c r="Z70">
        <f>SUM(B70:Y70)</f>
        <v>25619</v>
      </c>
    </row>
    <row r="71" spans="1:27" x14ac:dyDescent="0.3">
      <c r="A71" t="s">
        <v>0</v>
      </c>
      <c r="B71" t="s">
        <v>16</v>
      </c>
    </row>
    <row r="72" spans="1:27" x14ac:dyDescent="0.3">
      <c r="A72" t="s">
        <v>3</v>
      </c>
      <c r="B72" s="1">
        <v>46296</v>
      </c>
      <c r="C72" s="1">
        <v>46303</v>
      </c>
      <c r="D72" s="1">
        <v>46310</v>
      </c>
      <c r="E72" s="1">
        <v>46317</v>
      </c>
      <c r="F72" s="1">
        <v>46327</v>
      </c>
      <c r="G72" s="1">
        <v>46334</v>
      </c>
      <c r="H72" s="1">
        <v>46341</v>
      </c>
      <c r="I72" s="1">
        <v>46348</v>
      </c>
      <c r="J72" s="1">
        <v>46357</v>
      </c>
      <c r="K72" s="1">
        <v>46364</v>
      </c>
      <c r="L72" s="1">
        <v>46371</v>
      </c>
      <c r="M72" s="1">
        <v>46378</v>
      </c>
      <c r="N72" s="1">
        <v>46023</v>
      </c>
      <c r="O72" s="1">
        <v>46030</v>
      </c>
      <c r="P72" s="1">
        <v>46037</v>
      </c>
      <c r="Q72" s="1">
        <v>46044</v>
      </c>
      <c r="R72" s="1">
        <v>46054</v>
      </c>
      <c r="S72" s="1">
        <v>46061</v>
      </c>
      <c r="T72" s="1">
        <v>46068</v>
      </c>
      <c r="U72" s="1">
        <v>46075</v>
      </c>
      <c r="V72" s="1">
        <v>46082</v>
      </c>
      <c r="W72" s="1">
        <v>46089</v>
      </c>
      <c r="X72" s="1">
        <v>46096</v>
      </c>
      <c r="Y72" s="1">
        <v>46103</v>
      </c>
    </row>
    <row r="73" spans="1:27" x14ac:dyDescent="0.3">
      <c r="A73" t="s">
        <v>58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7" x14ac:dyDescent="0.3">
      <c r="A74" t="s">
        <v>48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f>SUM(B74:Y74)</f>
        <v>0</v>
      </c>
      <c r="AA74">
        <f>Z74/Z75</f>
        <v>0</v>
      </c>
    </row>
    <row r="75" spans="1:27" x14ac:dyDescent="0.3">
      <c r="A75" t="s">
        <v>2</v>
      </c>
      <c r="B75">
        <v>197</v>
      </c>
      <c r="C75">
        <v>328</v>
      </c>
      <c r="D75">
        <v>258</v>
      </c>
      <c r="E75">
        <v>276</v>
      </c>
      <c r="F75">
        <v>206</v>
      </c>
      <c r="G75">
        <v>220</v>
      </c>
      <c r="H75">
        <v>180</v>
      </c>
      <c r="I75">
        <v>368</v>
      </c>
      <c r="J75">
        <v>328</v>
      </c>
      <c r="K75">
        <v>435</v>
      </c>
      <c r="L75">
        <v>272</v>
      </c>
      <c r="M75">
        <v>252</v>
      </c>
      <c r="N75">
        <v>257</v>
      </c>
      <c r="O75">
        <v>222</v>
      </c>
      <c r="P75">
        <v>282</v>
      </c>
      <c r="Q75">
        <v>349</v>
      </c>
      <c r="R75">
        <v>315</v>
      </c>
      <c r="S75">
        <v>314</v>
      </c>
      <c r="T75">
        <v>324</v>
      </c>
      <c r="U75">
        <v>261</v>
      </c>
      <c r="V75">
        <v>204</v>
      </c>
      <c r="W75">
        <v>235</v>
      </c>
      <c r="X75">
        <v>303</v>
      </c>
      <c r="Y75">
        <v>379</v>
      </c>
      <c r="Z75">
        <f>SUM(B75:Y75)</f>
        <v>6765</v>
      </c>
    </row>
    <row r="76" spans="1:27" x14ac:dyDescent="0.3">
      <c r="A76" t="s">
        <v>0</v>
      </c>
      <c r="B76" t="s">
        <v>17</v>
      </c>
    </row>
    <row r="77" spans="1:27" x14ac:dyDescent="0.3">
      <c r="A77" t="s">
        <v>3</v>
      </c>
      <c r="B77" s="1">
        <v>46296</v>
      </c>
      <c r="C77" s="1">
        <v>46303</v>
      </c>
      <c r="D77" s="1">
        <v>46310</v>
      </c>
      <c r="E77" s="1">
        <v>46317</v>
      </c>
      <c r="F77" s="1">
        <v>46327</v>
      </c>
      <c r="G77" s="1">
        <v>46334</v>
      </c>
      <c r="H77" s="1">
        <v>46341</v>
      </c>
      <c r="I77" s="1">
        <v>46348</v>
      </c>
      <c r="J77" s="1">
        <v>46357</v>
      </c>
      <c r="K77" s="1">
        <v>46364</v>
      </c>
      <c r="L77" s="1">
        <v>46371</v>
      </c>
      <c r="M77" s="1">
        <v>46378</v>
      </c>
      <c r="N77" s="1">
        <v>46023</v>
      </c>
      <c r="O77" s="1">
        <v>46030</v>
      </c>
      <c r="P77" s="1">
        <v>46037</v>
      </c>
      <c r="Q77" s="1">
        <v>46044</v>
      </c>
      <c r="R77" s="1">
        <v>46054</v>
      </c>
      <c r="S77" s="1">
        <v>46061</v>
      </c>
      <c r="T77" s="1">
        <v>46068</v>
      </c>
      <c r="U77" s="1">
        <v>46075</v>
      </c>
      <c r="V77" s="1">
        <v>46082</v>
      </c>
      <c r="W77" s="1">
        <v>46089</v>
      </c>
      <c r="X77" s="1">
        <v>46096</v>
      </c>
      <c r="Y77" s="1">
        <v>46103</v>
      </c>
    </row>
    <row r="78" spans="1:27" x14ac:dyDescent="0.3">
      <c r="A78" t="s">
        <v>58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7" x14ac:dyDescent="0.3">
      <c r="A79" t="s">
        <v>48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f>SUM(B79:Y79)</f>
        <v>0</v>
      </c>
      <c r="AA79">
        <f>Z79/Z80</f>
        <v>0</v>
      </c>
    </row>
    <row r="80" spans="1:27" x14ac:dyDescent="0.3">
      <c r="A80" t="s">
        <v>2</v>
      </c>
      <c r="B80">
        <v>17</v>
      </c>
      <c r="C80">
        <v>15</v>
      </c>
      <c r="D80">
        <v>15</v>
      </c>
      <c r="E80">
        <v>12</v>
      </c>
      <c r="F80">
        <v>11</v>
      </c>
      <c r="G80">
        <v>16</v>
      </c>
      <c r="H80">
        <v>4</v>
      </c>
      <c r="I80">
        <v>11</v>
      </c>
      <c r="J80">
        <v>5</v>
      </c>
      <c r="K80">
        <v>15</v>
      </c>
      <c r="L80">
        <v>20</v>
      </c>
      <c r="M80">
        <v>7</v>
      </c>
      <c r="N80">
        <v>0</v>
      </c>
      <c r="O80">
        <v>0</v>
      </c>
      <c r="P80">
        <v>3</v>
      </c>
      <c r="Q80">
        <v>3</v>
      </c>
      <c r="R80">
        <v>6</v>
      </c>
      <c r="S80">
        <v>11</v>
      </c>
      <c r="T80">
        <v>5</v>
      </c>
      <c r="U80">
        <v>3</v>
      </c>
      <c r="V80">
        <v>3</v>
      </c>
      <c r="W80">
        <v>2</v>
      </c>
      <c r="X80">
        <v>0</v>
      </c>
      <c r="Y80">
        <v>1</v>
      </c>
      <c r="Z80">
        <f>SUM(B80:Y80)</f>
        <v>185</v>
      </c>
    </row>
    <row r="81" spans="1:27" x14ac:dyDescent="0.3">
      <c r="A81" t="s">
        <v>0</v>
      </c>
      <c r="B81" t="s">
        <v>18</v>
      </c>
    </row>
    <row r="82" spans="1:27" x14ac:dyDescent="0.3">
      <c r="A82" t="s">
        <v>3</v>
      </c>
      <c r="B82" s="1">
        <v>46296</v>
      </c>
      <c r="C82" s="1">
        <v>46303</v>
      </c>
      <c r="D82" s="1">
        <v>46310</v>
      </c>
      <c r="E82" s="1">
        <v>46317</v>
      </c>
      <c r="F82" s="1">
        <v>46327</v>
      </c>
      <c r="G82" s="1">
        <v>46334</v>
      </c>
      <c r="H82" s="1">
        <v>46341</v>
      </c>
      <c r="I82" s="1">
        <v>46348</v>
      </c>
      <c r="J82" s="1">
        <v>46357</v>
      </c>
      <c r="K82" s="1">
        <v>46364</v>
      </c>
      <c r="L82" s="1">
        <v>46371</v>
      </c>
      <c r="M82" s="1">
        <v>46378</v>
      </c>
      <c r="N82" s="1">
        <v>46023</v>
      </c>
      <c r="O82" s="1">
        <v>46030</v>
      </c>
      <c r="P82" s="1">
        <v>46037</v>
      </c>
      <c r="Q82" s="1">
        <v>46044</v>
      </c>
      <c r="R82" s="1">
        <v>46054</v>
      </c>
      <c r="S82" s="1">
        <v>46061</v>
      </c>
      <c r="T82" s="1">
        <v>46068</v>
      </c>
      <c r="U82" s="1">
        <v>46075</v>
      </c>
      <c r="V82" s="1">
        <v>46082</v>
      </c>
      <c r="W82" s="1">
        <v>46089</v>
      </c>
      <c r="X82" s="1">
        <v>46096</v>
      </c>
      <c r="Y82" s="1">
        <v>46103</v>
      </c>
    </row>
    <row r="83" spans="1:27" x14ac:dyDescent="0.3">
      <c r="A83" t="s">
        <v>58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7" x14ac:dyDescent="0.3">
      <c r="A84" t="s">
        <v>48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f>SUM(B84:Y84)</f>
        <v>0</v>
      </c>
      <c r="AA84">
        <f>Z84/Z85</f>
        <v>0</v>
      </c>
    </row>
    <row r="85" spans="1:27" x14ac:dyDescent="0.3">
      <c r="A85" t="s">
        <v>2</v>
      </c>
      <c r="B85">
        <v>89</v>
      </c>
      <c r="C85">
        <v>148</v>
      </c>
      <c r="D85">
        <v>86</v>
      </c>
      <c r="E85">
        <v>102</v>
      </c>
      <c r="F85">
        <v>68</v>
      </c>
      <c r="G85">
        <v>91</v>
      </c>
      <c r="H85">
        <v>77</v>
      </c>
      <c r="I85">
        <v>137</v>
      </c>
      <c r="J85">
        <v>91</v>
      </c>
      <c r="K85">
        <v>93</v>
      </c>
      <c r="L85">
        <v>77</v>
      </c>
      <c r="M85">
        <v>83</v>
      </c>
      <c r="N85">
        <v>70</v>
      </c>
      <c r="O85">
        <v>64</v>
      </c>
      <c r="P85">
        <v>59</v>
      </c>
      <c r="Q85">
        <v>87</v>
      </c>
      <c r="R85">
        <v>70</v>
      </c>
      <c r="S85">
        <v>98</v>
      </c>
      <c r="T85">
        <v>91</v>
      </c>
      <c r="U85">
        <v>110</v>
      </c>
      <c r="V85">
        <v>104</v>
      </c>
      <c r="W85">
        <v>72</v>
      </c>
      <c r="X85">
        <v>75</v>
      </c>
      <c r="Y85">
        <v>88</v>
      </c>
      <c r="Z85">
        <f>SUM(B85:Y85)</f>
        <v>2130</v>
      </c>
    </row>
    <row r="86" spans="1:27" x14ac:dyDescent="0.3">
      <c r="A86" t="s">
        <v>0</v>
      </c>
      <c r="B86" t="s">
        <v>19</v>
      </c>
    </row>
    <row r="87" spans="1:27" x14ac:dyDescent="0.3">
      <c r="A87" t="s">
        <v>3</v>
      </c>
      <c r="B87" s="1">
        <v>46296</v>
      </c>
      <c r="C87" s="1">
        <v>46303</v>
      </c>
      <c r="D87" s="1">
        <v>46310</v>
      </c>
      <c r="E87" s="1">
        <v>46317</v>
      </c>
      <c r="F87" s="1">
        <v>46327</v>
      </c>
      <c r="G87" s="1">
        <v>46334</v>
      </c>
      <c r="H87" s="1">
        <v>46341</v>
      </c>
      <c r="I87" s="1">
        <v>46348</v>
      </c>
      <c r="J87" s="1">
        <v>46357</v>
      </c>
      <c r="K87" s="1">
        <v>46364</v>
      </c>
      <c r="L87" s="1">
        <v>46371</v>
      </c>
      <c r="M87" s="1">
        <v>46378</v>
      </c>
      <c r="N87" s="1">
        <v>46023</v>
      </c>
      <c r="O87" s="1">
        <v>46030</v>
      </c>
      <c r="P87" s="1">
        <v>46037</v>
      </c>
      <c r="Q87" s="1">
        <v>46044</v>
      </c>
      <c r="R87" s="1">
        <v>46054</v>
      </c>
      <c r="S87" s="1">
        <v>46061</v>
      </c>
      <c r="T87" s="1">
        <v>46068</v>
      </c>
      <c r="U87" s="1">
        <v>46075</v>
      </c>
      <c r="V87" s="1">
        <v>46082</v>
      </c>
      <c r="W87" s="1">
        <v>46089</v>
      </c>
      <c r="X87" s="1">
        <v>46096</v>
      </c>
      <c r="Y87" s="1">
        <v>46103</v>
      </c>
    </row>
    <row r="88" spans="1:27" x14ac:dyDescent="0.3">
      <c r="A88" t="s">
        <v>58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7" x14ac:dyDescent="0.3">
      <c r="A89" t="s">
        <v>48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f>SUM(B89:Y89)</f>
        <v>0</v>
      </c>
      <c r="AA89">
        <f>Z89/Z90</f>
        <v>0</v>
      </c>
    </row>
    <row r="90" spans="1:27" x14ac:dyDescent="0.3">
      <c r="A90" t="s">
        <v>2</v>
      </c>
      <c r="B90">
        <v>15</v>
      </c>
      <c r="C90">
        <v>29</v>
      </c>
      <c r="D90">
        <v>38</v>
      </c>
      <c r="E90">
        <v>48</v>
      </c>
      <c r="F90">
        <v>24</v>
      </c>
      <c r="G90">
        <v>13</v>
      </c>
      <c r="H90">
        <v>16</v>
      </c>
      <c r="I90">
        <v>26</v>
      </c>
      <c r="J90">
        <v>15</v>
      </c>
      <c r="K90">
        <v>12</v>
      </c>
      <c r="L90">
        <v>10</v>
      </c>
      <c r="M90">
        <v>26</v>
      </c>
      <c r="N90">
        <v>16</v>
      </c>
      <c r="O90">
        <v>4</v>
      </c>
      <c r="P90">
        <v>4</v>
      </c>
      <c r="Q90">
        <v>21</v>
      </c>
      <c r="R90">
        <v>56</v>
      </c>
      <c r="S90">
        <v>93</v>
      </c>
      <c r="T90">
        <v>55</v>
      </c>
      <c r="U90">
        <v>3</v>
      </c>
      <c r="V90">
        <v>12</v>
      </c>
      <c r="W90">
        <v>12</v>
      </c>
      <c r="X90">
        <v>13</v>
      </c>
      <c r="Y90">
        <v>34</v>
      </c>
      <c r="Z90">
        <f>SUM(B90:Y90)</f>
        <v>595</v>
      </c>
    </row>
    <row r="91" spans="1:27" x14ac:dyDescent="0.3">
      <c r="A91" t="s">
        <v>0</v>
      </c>
      <c r="B91" t="s">
        <v>20</v>
      </c>
    </row>
    <row r="92" spans="1:27" x14ac:dyDescent="0.3">
      <c r="A92" t="s">
        <v>3</v>
      </c>
      <c r="B92" s="1">
        <v>46296</v>
      </c>
      <c r="C92" s="1">
        <v>46303</v>
      </c>
      <c r="D92" s="1">
        <v>46310</v>
      </c>
      <c r="E92" s="1">
        <v>46317</v>
      </c>
      <c r="F92" s="1">
        <v>46327</v>
      </c>
      <c r="G92" s="1">
        <v>46334</v>
      </c>
      <c r="H92" s="1">
        <v>46341</v>
      </c>
      <c r="I92" s="1">
        <v>46348</v>
      </c>
      <c r="J92" s="1">
        <v>46357</v>
      </c>
      <c r="K92" s="1">
        <v>46364</v>
      </c>
      <c r="L92" s="1">
        <v>46371</v>
      </c>
      <c r="M92" s="1">
        <v>46378</v>
      </c>
      <c r="N92" s="1">
        <v>46023</v>
      </c>
      <c r="O92" s="1">
        <v>46030</v>
      </c>
      <c r="P92" s="1">
        <v>46037</v>
      </c>
      <c r="Q92" s="1">
        <v>46044</v>
      </c>
      <c r="R92" s="1">
        <v>46054</v>
      </c>
      <c r="S92" s="1">
        <v>46061</v>
      </c>
      <c r="T92" s="1">
        <v>46068</v>
      </c>
      <c r="U92" s="1">
        <v>46075</v>
      </c>
      <c r="V92" s="1">
        <v>46082</v>
      </c>
      <c r="W92" s="1">
        <v>46089</v>
      </c>
      <c r="X92" s="1">
        <v>46096</v>
      </c>
      <c r="Y92" s="1">
        <v>46103</v>
      </c>
    </row>
    <row r="93" spans="1:27" x14ac:dyDescent="0.3">
      <c r="A93" t="s">
        <v>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7" x14ac:dyDescent="0.3">
      <c r="A94" t="s">
        <v>48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f>SUM(B94:Y94)</f>
        <v>0</v>
      </c>
      <c r="AA94">
        <f>Z94/Z95</f>
        <v>0</v>
      </c>
    </row>
    <row r="95" spans="1:27" x14ac:dyDescent="0.3">
      <c r="A95" t="s">
        <v>2</v>
      </c>
      <c r="B95">
        <v>146</v>
      </c>
      <c r="C95">
        <v>110</v>
      </c>
      <c r="D95">
        <v>66</v>
      </c>
      <c r="E95">
        <v>71</v>
      </c>
      <c r="F95">
        <v>49</v>
      </c>
      <c r="G95">
        <v>31</v>
      </c>
      <c r="H95">
        <v>23</v>
      </c>
      <c r="I95">
        <v>42</v>
      </c>
      <c r="J95">
        <v>26</v>
      </c>
      <c r="K95">
        <v>20</v>
      </c>
      <c r="L95">
        <v>25</v>
      </c>
      <c r="M95">
        <v>32</v>
      </c>
      <c r="N95">
        <v>49</v>
      </c>
      <c r="O95">
        <v>42</v>
      </c>
      <c r="P95">
        <v>29</v>
      </c>
      <c r="Q95">
        <v>24</v>
      </c>
      <c r="R95">
        <v>13</v>
      </c>
      <c r="S95">
        <v>28</v>
      </c>
      <c r="T95">
        <v>41</v>
      </c>
      <c r="U95">
        <v>28</v>
      </c>
      <c r="V95">
        <v>38</v>
      </c>
      <c r="W95">
        <v>41</v>
      </c>
      <c r="X95">
        <v>20</v>
      </c>
      <c r="Y95">
        <v>91</v>
      </c>
      <c r="Z95">
        <f>SUM(B95:Y95)</f>
        <v>1085</v>
      </c>
    </row>
    <row r="96" spans="1:27" x14ac:dyDescent="0.3">
      <c r="A96" t="s">
        <v>0</v>
      </c>
      <c r="B96" t="s">
        <v>21</v>
      </c>
    </row>
    <row r="97" spans="1:27" x14ac:dyDescent="0.3">
      <c r="A97" t="s">
        <v>3</v>
      </c>
      <c r="B97" s="1">
        <v>46296</v>
      </c>
      <c r="C97" s="1">
        <v>46303</v>
      </c>
      <c r="D97" s="1">
        <v>46310</v>
      </c>
      <c r="E97" s="1">
        <v>46317</v>
      </c>
      <c r="F97" s="1">
        <v>46327</v>
      </c>
      <c r="G97" s="1">
        <v>46334</v>
      </c>
      <c r="H97" s="1">
        <v>46341</v>
      </c>
      <c r="I97" s="1">
        <v>46348</v>
      </c>
      <c r="J97" s="1">
        <v>46357</v>
      </c>
      <c r="K97" s="1">
        <v>46364</v>
      </c>
      <c r="L97" s="1">
        <v>46371</v>
      </c>
      <c r="M97" s="1">
        <v>46378</v>
      </c>
      <c r="N97" s="1">
        <v>46023</v>
      </c>
      <c r="O97" s="1">
        <v>46030</v>
      </c>
      <c r="P97" s="1">
        <v>46037</v>
      </c>
      <c r="Q97" s="1">
        <v>46044</v>
      </c>
      <c r="R97" s="1">
        <v>46054</v>
      </c>
      <c r="S97" s="1">
        <v>46061</v>
      </c>
      <c r="T97" s="1">
        <v>46068</v>
      </c>
      <c r="U97" s="1">
        <v>46075</v>
      </c>
      <c r="V97" s="1">
        <v>46082</v>
      </c>
      <c r="W97" s="1">
        <v>46089</v>
      </c>
      <c r="X97" s="1">
        <v>46096</v>
      </c>
      <c r="Y97" s="1">
        <v>46103</v>
      </c>
    </row>
    <row r="98" spans="1:27" x14ac:dyDescent="0.3">
      <c r="A98" t="s">
        <v>58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7" x14ac:dyDescent="0.3">
      <c r="A99" t="s">
        <v>48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f>SUM(B99:Y99)</f>
        <v>0</v>
      </c>
      <c r="AA99">
        <f>Z99/Z100</f>
        <v>0</v>
      </c>
    </row>
    <row r="100" spans="1:27" x14ac:dyDescent="0.3">
      <c r="A100" t="s">
        <v>2</v>
      </c>
      <c r="B100">
        <v>1</v>
      </c>
      <c r="C100">
        <v>0</v>
      </c>
      <c r="D100">
        <v>3</v>
      </c>
      <c r="E100">
        <v>3</v>
      </c>
      <c r="F100">
        <v>8</v>
      </c>
      <c r="G100">
        <v>4</v>
      </c>
      <c r="H100">
        <v>10</v>
      </c>
      <c r="I100">
        <v>9</v>
      </c>
      <c r="J100">
        <v>9</v>
      </c>
      <c r="K100">
        <v>26</v>
      </c>
      <c r="L100">
        <v>19</v>
      </c>
      <c r="M100">
        <v>10</v>
      </c>
      <c r="N100">
        <v>58</v>
      </c>
      <c r="O100">
        <v>130</v>
      </c>
      <c r="P100">
        <v>114</v>
      </c>
      <c r="Q100">
        <v>229</v>
      </c>
      <c r="R100">
        <v>75</v>
      </c>
      <c r="S100">
        <v>30</v>
      </c>
      <c r="T100">
        <v>35</v>
      </c>
      <c r="U100">
        <v>13</v>
      </c>
      <c r="V100">
        <v>6</v>
      </c>
      <c r="W100">
        <v>2</v>
      </c>
      <c r="X100">
        <v>0</v>
      </c>
      <c r="Y100">
        <v>0</v>
      </c>
      <c r="Z100">
        <f>SUM(B100:Y100)</f>
        <v>794</v>
      </c>
    </row>
    <row r="101" spans="1:27" x14ac:dyDescent="0.3">
      <c r="A101" t="s">
        <v>0</v>
      </c>
      <c r="B101" t="s">
        <v>22</v>
      </c>
    </row>
    <row r="102" spans="1:27" x14ac:dyDescent="0.3">
      <c r="A102" t="s">
        <v>3</v>
      </c>
      <c r="B102" s="1">
        <v>46296</v>
      </c>
      <c r="C102" s="1">
        <v>46303</v>
      </c>
      <c r="D102" s="1">
        <v>46310</v>
      </c>
      <c r="E102" s="1">
        <v>46317</v>
      </c>
      <c r="F102" s="1">
        <v>46327</v>
      </c>
      <c r="G102" s="1">
        <v>46334</v>
      </c>
      <c r="H102" s="1">
        <v>46341</v>
      </c>
      <c r="I102" s="1">
        <v>46348</v>
      </c>
      <c r="J102" s="1">
        <v>46357</v>
      </c>
      <c r="K102" s="1">
        <v>46364</v>
      </c>
      <c r="L102" s="1">
        <v>46371</v>
      </c>
      <c r="M102" s="1">
        <v>46378</v>
      </c>
      <c r="N102" s="1">
        <v>46023</v>
      </c>
      <c r="O102" s="1">
        <v>46030</v>
      </c>
      <c r="P102" s="1">
        <v>46037</v>
      </c>
      <c r="Q102" s="1">
        <v>46044</v>
      </c>
      <c r="R102" s="1">
        <v>46054</v>
      </c>
      <c r="S102" s="1">
        <v>46061</v>
      </c>
      <c r="T102" s="1">
        <v>46068</v>
      </c>
      <c r="U102" s="1">
        <v>46075</v>
      </c>
      <c r="V102" s="1">
        <v>46082</v>
      </c>
      <c r="W102" s="1">
        <v>46089</v>
      </c>
      <c r="X102" s="1">
        <v>46096</v>
      </c>
      <c r="Y102" s="1">
        <v>46103</v>
      </c>
    </row>
    <row r="103" spans="1:27" x14ac:dyDescent="0.3">
      <c r="A103" t="s">
        <v>58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7" x14ac:dyDescent="0.3">
      <c r="A104" t="s">
        <v>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f>SUM(B104:Y104)</f>
        <v>0</v>
      </c>
      <c r="AA104">
        <f>Z104/Z105</f>
        <v>0</v>
      </c>
    </row>
    <row r="105" spans="1:27" x14ac:dyDescent="0.3">
      <c r="A105" t="s">
        <v>2</v>
      </c>
      <c r="B105">
        <v>1156</v>
      </c>
      <c r="C105">
        <v>1798</v>
      </c>
      <c r="D105">
        <v>1380</v>
      </c>
      <c r="E105">
        <v>1606</v>
      </c>
      <c r="F105">
        <v>1194</v>
      </c>
      <c r="G105">
        <v>1268</v>
      </c>
      <c r="H105">
        <v>1221</v>
      </c>
      <c r="I105">
        <v>1400</v>
      </c>
      <c r="J105">
        <v>904</v>
      </c>
      <c r="K105">
        <v>679</v>
      </c>
      <c r="L105">
        <v>659</v>
      </c>
      <c r="M105">
        <v>1250</v>
      </c>
      <c r="N105">
        <v>772</v>
      </c>
      <c r="O105">
        <v>876</v>
      </c>
      <c r="P105">
        <v>923</v>
      </c>
      <c r="Q105">
        <v>1490</v>
      </c>
      <c r="R105">
        <v>1055</v>
      </c>
      <c r="S105">
        <v>1493</v>
      </c>
      <c r="T105">
        <v>1653</v>
      </c>
      <c r="U105">
        <v>1493</v>
      </c>
      <c r="V105">
        <v>1176</v>
      </c>
      <c r="W105">
        <v>1191</v>
      </c>
      <c r="X105">
        <v>909</v>
      </c>
      <c r="Y105">
        <v>1255</v>
      </c>
      <c r="Z105">
        <f>SUM(B105:Y105)</f>
        <v>28801</v>
      </c>
    </row>
    <row r="106" spans="1:27" x14ac:dyDescent="0.3">
      <c r="A106" t="s">
        <v>0</v>
      </c>
      <c r="B106" t="s">
        <v>23</v>
      </c>
    </row>
    <row r="107" spans="1:27" x14ac:dyDescent="0.3">
      <c r="A107" t="s">
        <v>3</v>
      </c>
      <c r="B107" s="1">
        <v>46296</v>
      </c>
      <c r="C107" s="1">
        <v>46303</v>
      </c>
      <c r="D107" s="1">
        <v>46310</v>
      </c>
      <c r="E107" s="1">
        <v>46317</v>
      </c>
      <c r="F107" s="1">
        <v>46327</v>
      </c>
      <c r="G107" s="1">
        <v>46334</v>
      </c>
      <c r="H107" s="1">
        <v>46341</v>
      </c>
      <c r="I107" s="1">
        <v>46348</v>
      </c>
      <c r="J107" s="1">
        <v>46357</v>
      </c>
      <c r="K107" s="1">
        <v>46364</v>
      </c>
      <c r="L107" s="1">
        <v>46371</v>
      </c>
      <c r="M107" s="1">
        <v>46378</v>
      </c>
      <c r="N107" s="1">
        <v>46023</v>
      </c>
      <c r="O107" s="1">
        <v>46030</v>
      </c>
      <c r="P107" s="1">
        <v>46037</v>
      </c>
      <c r="Q107" s="1">
        <v>46044</v>
      </c>
      <c r="R107" s="1">
        <v>46054</v>
      </c>
      <c r="S107" s="1">
        <v>46061</v>
      </c>
      <c r="T107" s="1">
        <v>46068</v>
      </c>
      <c r="U107" s="1">
        <v>46075</v>
      </c>
      <c r="V107" s="1">
        <v>46082</v>
      </c>
      <c r="W107" s="1">
        <v>46089</v>
      </c>
      <c r="X107" s="1">
        <v>46096</v>
      </c>
      <c r="Y107" s="1">
        <v>46103</v>
      </c>
    </row>
    <row r="108" spans="1:27" x14ac:dyDescent="0.3">
      <c r="A108" t="s">
        <v>58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7" x14ac:dyDescent="0.3">
      <c r="A109" t="s">
        <v>48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f>SUM(B109:Y109)</f>
        <v>0</v>
      </c>
      <c r="AA109">
        <f>Z109/Z110</f>
        <v>0</v>
      </c>
    </row>
    <row r="110" spans="1:27" x14ac:dyDescent="0.3">
      <c r="A110" t="s">
        <v>2</v>
      </c>
      <c r="B110">
        <v>525</v>
      </c>
      <c r="C110">
        <v>1393</v>
      </c>
      <c r="D110">
        <v>715</v>
      </c>
      <c r="E110">
        <v>795</v>
      </c>
      <c r="F110">
        <v>630</v>
      </c>
      <c r="G110">
        <v>623</v>
      </c>
      <c r="H110">
        <v>792</v>
      </c>
      <c r="I110">
        <v>1040</v>
      </c>
      <c r="J110">
        <v>852</v>
      </c>
      <c r="K110">
        <v>590</v>
      </c>
      <c r="L110">
        <v>521</v>
      </c>
      <c r="M110">
        <v>504</v>
      </c>
      <c r="N110">
        <v>328</v>
      </c>
      <c r="O110">
        <v>359</v>
      </c>
      <c r="P110">
        <v>321</v>
      </c>
      <c r="Q110">
        <v>520</v>
      </c>
      <c r="R110">
        <v>277</v>
      </c>
      <c r="S110">
        <v>306</v>
      </c>
      <c r="T110">
        <v>319</v>
      </c>
      <c r="U110">
        <v>357</v>
      </c>
      <c r="V110">
        <v>395</v>
      </c>
      <c r="W110">
        <v>365</v>
      </c>
      <c r="X110">
        <v>368</v>
      </c>
      <c r="Y110">
        <v>397</v>
      </c>
      <c r="Z110">
        <f>SUM(B110:Y110)</f>
        <v>13292</v>
      </c>
    </row>
    <row r="111" spans="1:27" x14ac:dyDescent="0.3">
      <c r="A111" t="s">
        <v>0</v>
      </c>
      <c r="B111" t="s">
        <v>24</v>
      </c>
    </row>
    <row r="112" spans="1:27" x14ac:dyDescent="0.3">
      <c r="A112" t="s">
        <v>3</v>
      </c>
      <c r="B112" s="1">
        <v>46296</v>
      </c>
      <c r="C112" s="1">
        <v>46303</v>
      </c>
      <c r="D112" s="1">
        <v>46310</v>
      </c>
      <c r="E112" s="1">
        <v>46317</v>
      </c>
      <c r="F112" s="1">
        <v>46327</v>
      </c>
      <c r="G112" s="1">
        <v>46334</v>
      </c>
      <c r="H112" s="1">
        <v>46341</v>
      </c>
      <c r="I112" s="1">
        <v>46348</v>
      </c>
      <c r="J112" s="1">
        <v>46357</v>
      </c>
      <c r="K112" s="1">
        <v>46364</v>
      </c>
      <c r="L112" s="1">
        <v>46371</v>
      </c>
      <c r="M112" s="1">
        <v>46378</v>
      </c>
      <c r="N112" s="1">
        <v>46023</v>
      </c>
      <c r="O112" s="1">
        <v>46030</v>
      </c>
      <c r="P112" s="1">
        <v>46037</v>
      </c>
      <c r="Q112" s="1">
        <v>46044</v>
      </c>
      <c r="R112" s="1">
        <v>46054</v>
      </c>
      <c r="S112" s="1">
        <v>46061</v>
      </c>
      <c r="T112" s="1">
        <v>46068</v>
      </c>
      <c r="U112" s="1">
        <v>46075</v>
      </c>
      <c r="V112" s="1">
        <v>46082</v>
      </c>
      <c r="W112" s="1">
        <v>46089</v>
      </c>
      <c r="X112" s="1">
        <v>46096</v>
      </c>
      <c r="Y112" s="1">
        <v>46103</v>
      </c>
    </row>
    <row r="113" spans="1:27" x14ac:dyDescent="0.3">
      <c r="A113" t="s">
        <v>58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7" x14ac:dyDescent="0.3">
      <c r="A114" t="s">
        <v>48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f>SUM(B114:Y114)</f>
        <v>0</v>
      </c>
      <c r="AA114">
        <f>Z114/Z115</f>
        <v>0</v>
      </c>
    </row>
    <row r="115" spans="1:27" x14ac:dyDescent="0.3">
      <c r="A115" t="s">
        <v>2</v>
      </c>
      <c r="B115">
        <v>98</v>
      </c>
      <c r="C115">
        <v>166</v>
      </c>
      <c r="D115">
        <v>153</v>
      </c>
      <c r="E115">
        <v>136</v>
      </c>
      <c r="F115">
        <v>60</v>
      </c>
      <c r="G115">
        <v>24</v>
      </c>
      <c r="H115">
        <v>24</v>
      </c>
      <c r="I115">
        <v>24</v>
      </c>
      <c r="J115">
        <v>19</v>
      </c>
      <c r="K115">
        <v>14</v>
      </c>
      <c r="L115">
        <v>10</v>
      </c>
      <c r="M115">
        <v>18</v>
      </c>
      <c r="N115">
        <v>20</v>
      </c>
      <c r="O115">
        <v>14</v>
      </c>
      <c r="P115">
        <v>17</v>
      </c>
      <c r="Q115">
        <v>34</v>
      </c>
      <c r="R115">
        <v>14</v>
      </c>
      <c r="S115">
        <v>9</v>
      </c>
      <c r="T115">
        <v>23</v>
      </c>
      <c r="U115">
        <v>9</v>
      </c>
      <c r="V115">
        <v>12</v>
      </c>
      <c r="W115">
        <v>22</v>
      </c>
      <c r="X115">
        <v>14</v>
      </c>
      <c r="Y115">
        <v>44</v>
      </c>
      <c r="Z115">
        <f>SUM(B115:Y115)</f>
        <v>978</v>
      </c>
    </row>
    <row r="116" spans="1:27" x14ac:dyDescent="0.3">
      <c r="A116" t="s">
        <v>0</v>
      </c>
      <c r="B116" t="s">
        <v>25</v>
      </c>
    </row>
    <row r="117" spans="1:27" x14ac:dyDescent="0.3">
      <c r="A117" t="s">
        <v>3</v>
      </c>
      <c r="B117" s="1">
        <v>46296</v>
      </c>
      <c r="C117" s="1">
        <v>46303</v>
      </c>
      <c r="D117" s="1">
        <v>46310</v>
      </c>
      <c r="E117" s="1">
        <v>46317</v>
      </c>
      <c r="F117" s="1">
        <v>46327</v>
      </c>
      <c r="G117" s="1">
        <v>46334</v>
      </c>
      <c r="H117" s="1">
        <v>46341</v>
      </c>
      <c r="I117" s="1">
        <v>46348</v>
      </c>
      <c r="J117" s="1">
        <v>46357</v>
      </c>
      <c r="K117" s="1">
        <v>46364</v>
      </c>
      <c r="L117" s="1">
        <v>46371</v>
      </c>
      <c r="M117" s="1">
        <v>46378</v>
      </c>
      <c r="N117" s="1">
        <v>46023</v>
      </c>
      <c r="O117" s="1">
        <v>46030</v>
      </c>
      <c r="P117" s="1">
        <v>46037</v>
      </c>
      <c r="Q117" s="1">
        <v>46044</v>
      </c>
      <c r="R117" s="1">
        <v>46054</v>
      </c>
      <c r="S117" s="1">
        <v>46061</v>
      </c>
      <c r="T117" s="1">
        <v>46068</v>
      </c>
      <c r="U117" s="1">
        <v>46075</v>
      </c>
      <c r="V117" s="1">
        <v>46082</v>
      </c>
      <c r="W117" s="1">
        <v>46089</v>
      </c>
      <c r="X117" s="1">
        <v>46096</v>
      </c>
      <c r="Y117" s="1">
        <v>46103</v>
      </c>
    </row>
    <row r="118" spans="1:27" x14ac:dyDescent="0.3">
      <c r="A118" t="s">
        <v>58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7" x14ac:dyDescent="0.3">
      <c r="A119" t="s">
        <v>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f>SUM(B119:Y119)</f>
        <v>0</v>
      </c>
      <c r="AA119">
        <f>Z119/Z120</f>
        <v>0</v>
      </c>
    </row>
    <row r="120" spans="1:27" x14ac:dyDescent="0.3">
      <c r="A120" t="s">
        <v>2</v>
      </c>
      <c r="B120">
        <v>189</v>
      </c>
      <c r="C120">
        <v>297</v>
      </c>
      <c r="D120">
        <v>128</v>
      </c>
      <c r="E120">
        <v>169</v>
      </c>
      <c r="F120">
        <v>159</v>
      </c>
      <c r="G120">
        <v>174</v>
      </c>
      <c r="H120">
        <v>131</v>
      </c>
      <c r="I120">
        <v>170</v>
      </c>
      <c r="J120">
        <v>76</v>
      </c>
      <c r="K120">
        <v>102</v>
      </c>
      <c r="L120">
        <v>60</v>
      </c>
      <c r="M120">
        <v>72</v>
      </c>
      <c r="N120">
        <v>71</v>
      </c>
      <c r="O120">
        <v>63</v>
      </c>
      <c r="P120">
        <v>92</v>
      </c>
      <c r="Q120">
        <v>127</v>
      </c>
      <c r="R120">
        <v>76</v>
      </c>
      <c r="S120">
        <v>84</v>
      </c>
      <c r="T120">
        <v>89</v>
      </c>
      <c r="U120">
        <v>81</v>
      </c>
      <c r="V120">
        <v>85</v>
      </c>
      <c r="W120">
        <v>44</v>
      </c>
      <c r="X120">
        <v>72</v>
      </c>
      <c r="Y120">
        <v>129</v>
      </c>
      <c r="Z120">
        <f>SUM(B120:Y120)</f>
        <v>2740</v>
      </c>
    </row>
    <row r="121" spans="1:27" x14ac:dyDescent="0.3">
      <c r="A121" t="s">
        <v>0</v>
      </c>
      <c r="B121" t="s">
        <v>26</v>
      </c>
    </row>
    <row r="122" spans="1:27" x14ac:dyDescent="0.3">
      <c r="A122" t="s">
        <v>3</v>
      </c>
      <c r="B122" s="1">
        <v>46296</v>
      </c>
      <c r="C122" s="1">
        <v>46303</v>
      </c>
      <c r="D122" s="1">
        <v>46310</v>
      </c>
      <c r="E122" s="1">
        <v>46317</v>
      </c>
      <c r="F122" s="1">
        <v>46327</v>
      </c>
      <c r="G122" s="1">
        <v>46334</v>
      </c>
      <c r="H122" s="1">
        <v>46341</v>
      </c>
      <c r="I122" s="1">
        <v>46348</v>
      </c>
      <c r="J122" s="1">
        <v>46357</v>
      </c>
      <c r="K122" s="1">
        <v>46364</v>
      </c>
      <c r="L122" s="1">
        <v>46371</v>
      </c>
      <c r="M122" s="1">
        <v>46378</v>
      </c>
      <c r="N122" s="1">
        <v>46023</v>
      </c>
      <c r="O122" s="1">
        <v>46030</v>
      </c>
      <c r="P122" s="1">
        <v>46037</v>
      </c>
      <c r="Q122" s="1">
        <v>46044</v>
      </c>
      <c r="R122" s="1">
        <v>46054</v>
      </c>
      <c r="S122" s="1">
        <v>46061</v>
      </c>
      <c r="T122" s="1">
        <v>46068</v>
      </c>
      <c r="U122" s="1">
        <v>46075</v>
      </c>
      <c r="V122" s="1">
        <v>46082</v>
      </c>
      <c r="W122" s="1">
        <v>46089</v>
      </c>
      <c r="X122" s="1">
        <v>46096</v>
      </c>
      <c r="Y122" s="1">
        <v>46103</v>
      </c>
    </row>
    <row r="123" spans="1:27" x14ac:dyDescent="0.3">
      <c r="A123" t="s">
        <v>58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7" x14ac:dyDescent="0.3">
      <c r="A124" t="s">
        <v>48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f>SUM(B124:Y124)</f>
        <v>0</v>
      </c>
      <c r="AA124">
        <f>Z124/Z125</f>
        <v>0</v>
      </c>
    </row>
    <row r="125" spans="1:27" x14ac:dyDescent="0.3">
      <c r="A125" t="s">
        <v>2</v>
      </c>
      <c r="B125">
        <v>214</v>
      </c>
      <c r="C125">
        <v>242</v>
      </c>
      <c r="D125">
        <v>172</v>
      </c>
      <c r="E125">
        <v>234</v>
      </c>
      <c r="F125">
        <v>161</v>
      </c>
      <c r="G125">
        <v>239</v>
      </c>
      <c r="H125">
        <v>266</v>
      </c>
      <c r="I125">
        <v>528</v>
      </c>
      <c r="J125">
        <v>457</v>
      </c>
      <c r="K125">
        <v>312</v>
      </c>
      <c r="L125">
        <v>195</v>
      </c>
      <c r="M125">
        <v>217</v>
      </c>
      <c r="N125">
        <v>208</v>
      </c>
      <c r="O125">
        <v>107</v>
      </c>
      <c r="P125">
        <v>134</v>
      </c>
      <c r="Q125">
        <v>181</v>
      </c>
      <c r="R125">
        <v>205</v>
      </c>
      <c r="S125">
        <v>184</v>
      </c>
      <c r="T125">
        <v>193</v>
      </c>
      <c r="U125">
        <v>179</v>
      </c>
      <c r="V125">
        <v>123</v>
      </c>
      <c r="W125">
        <v>110</v>
      </c>
      <c r="X125">
        <v>126</v>
      </c>
      <c r="Y125">
        <v>284</v>
      </c>
      <c r="Z125">
        <f>SUM(B125:Y125)</f>
        <v>5271</v>
      </c>
    </row>
    <row r="126" spans="1:27" x14ac:dyDescent="0.3">
      <c r="A126" t="s">
        <v>0</v>
      </c>
      <c r="B126" t="s">
        <v>27</v>
      </c>
    </row>
    <row r="127" spans="1:27" x14ac:dyDescent="0.3">
      <c r="A127" t="s">
        <v>3</v>
      </c>
      <c r="B127" s="1">
        <v>46296</v>
      </c>
      <c r="C127" s="1">
        <v>46303</v>
      </c>
      <c r="D127" s="1">
        <v>46310</v>
      </c>
      <c r="E127" s="1">
        <v>46317</v>
      </c>
      <c r="F127" s="1">
        <v>46327</v>
      </c>
      <c r="G127" s="1">
        <v>46334</v>
      </c>
      <c r="H127" s="1">
        <v>46341</v>
      </c>
      <c r="I127" s="1">
        <v>46348</v>
      </c>
      <c r="J127" s="1">
        <v>46357</v>
      </c>
      <c r="K127" s="1">
        <v>46364</v>
      </c>
      <c r="L127" s="1">
        <v>46371</v>
      </c>
      <c r="M127" s="1">
        <v>46378</v>
      </c>
      <c r="N127" s="1">
        <v>46023</v>
      </c>
      <c r="O127" s="1">
        <v>46030</v>
      </c>
      <c r="P127" s="1">
        <v>46037</v>
      </c>
      <c r="Q127" s="1">
        <v>46044</v>
      </c>
      <c r="R127" s="1">
        <v>46054</v>
      </c>
      <c r="S127" s="1">
        <v>46061</v>
      </c>
      <c r="T127" s="1">
        <v>46068</v>
      </c>
      <c r="U127" s="1">
        <v>46075</v>
      </c>
      <c r="V127" s="1">
        <v>46082</v>
      </c>
      <c r="W127" s="1">
        <v>46089</v>
      </c>
      <c r="X127" s="1">
        <v>46096</v>
      </c>
      <c r="Y127" s="1">
        <v>46103</v>
      </c>
    </row>
    <row r="128" spans="1:27" x14ac:dyDescent="0.3">
      <c r="A128" t="s">
        <v>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7" x14ac:dyDescent="0.3">
      <c r="A129" t="s">
        <v>48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f>SUM(B129:Y129)</f>
        <v>0</v>
      </c>
      <c r="AA129">
        <f>Z129/Z130</f>
        <v>0</v>
      </c>
    </row>
    <row r="130" spans="1:27" x14ac:dyDescent="0.3">
      <c r="A130" t="s">
        <v>2</v>
      </c>
      <c r="B130">
        <v>408</v>
      </c>
      <c r="C130">
        <v>908</v>
      </c>
      <c r="D130">
        <v>463</v>
      </c>
      <c r="E130">
        <v>672</v>
      </c>
      <c r="F130">
        <v>486</v>
      </c>
      <c r="G130">
        <v>663</v>
      </c>
      <c r="H130">
        <v>804</v>
      </c>
      <c r="I130">
        <v>1077</v>
      </c>
      <c r="J130">
        <v>588</v>
      </c>
      <c r="K130">
        <v>498</v>
      </c>
      <c r="L130">
        <v>454</v>
      </c>
      <c r="M130">
        <v>599</v>
      </c>
      <c r="N130">
        <v>427</v>
      </c>
      <c r="O130">
        <v>387</v>
      </c>
      <c r="P130">
        <v>312</v>
      </c>
      <c r="Q130">
        <v>526</v>
      </c>
      <c r="R130">
        <v>411</v>
      </c>
      <c r="S130">
        <v>417</v>
      </c>
      <c r="T130">
        <v>540</v>
      </c>
      <c r="U130">
        <v>344</v>
      </c>
      <c r="V130">
        <v>266</v>
      </c>
      <c r="W130">
        <v>403</v>
      </c>
      <c r="X130">
        <v>285</v>
      </c>
      <c r="Y130">
        <v>488</v>
      </c>
      <c r="Z130">
        <f>SUM(B130:Y130)</f>
        <v>12426</v>
      </c>
    </row>
    <row r="131" spans="1:27" x14ac:dyDescent="0.3">
      <c r="A131" t="s">
        <v>0</v>
      </c>
      <c r="B131" t="s">
        <v>28</v>
      </c>
    </row>
    <row r="132" spans="1:27" x14ac:dyDescent="0.3">
      <c r="A132" t="s">
        <v>3</v>
      </c>
      <c r="B132" s="1">
        <v>46296</v>
      </c>
      <c r="C132" s="1">
        <v>46303</v>
      </c>
      <c r="D132" s="1">
        <v>46310</v>
      </c>
      <c r="E132" s="1">
        <v>46317</v>
      </c>
      <c r="F132" s="1">
        <v>46327</v>
      </c>
      <c r="G132" s="1">
        <v>46334</v>
      </c>
      <c r="H132" s="1">
        <v>46341</v>
      </c>
      <c r="I132" s="1">
        <v>46348</v>
      </c>
      <c r="J132" s="1">
        <v>46357</v>
      </c>
      <c r="K132" s="1">
        <v>46364</v>
      </c>
      <c r="L132" s="1">
        <v>46371</v>
      </c>
      <c r="M132" s="1">
        <v>46378</v>
      </c>
      <c r="N132" s="1">
        <v>46023</v>
      </c>
      <c r="O132" s="1">
        <v>46030</v>
      </c>
      <c r="P132" s="1">
        <v>46037</v>
      </c>
      <c r="Q132" s="1">
        <v>46044</v>
      </c>
      <c r="R132" s="1">
        <v>46054</v>
      </c>
      <c r="S132" s="1">
        <v>46061</v>
      </c>
      <c r="T132" s="1">
        <v>46068</v>
      </c>
      <c r="U132" s="1">
        <v>46075</v>
      </c>
      <c r="V132" s="1">
        <v>46082</v>
      </c>
      <c r="W132" s="1">
        <v>46089</v>
      </c>
      <c r="X132" s="1">
        <v>46096</v>
      </c>
      <c r="Y132" s="1">
        <v>46103</v>
      </c>
    </row>
    <row r="133" spans="1:27" x14ac:dyDescent="0.3">
      <c r="A133" t="s">
        <v>58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7" x14ac:dyDescent="0.3">
      <c r="A134" t="s">
        <v>48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f>SUM(B134:Y134)</f>
        <v>0</v>
      </c>
      <c r="AA134">
        <f>Z134/Z135</f>
        <v>0</v>
      </c>
    </row>
    <row r="135" spans="1:27" x14ac:dyDescent="0.3">
      <c r="A135" t="s">
        <v>2</v>
      </c>
      <c r="B135">
        <v>389</v>
      </c>
      <c r="C135">
        <v>642</v>
      </c>
      <c r="D135">
        <v>552</v>
      </c>
      <c r="E135">
        <v>697</v>
      </c>
      <c r="F135">
        <v>711</v>
      </c>
      <c r="G135">
        <v>1028</v>
      </c>
      <c r="H135">
        <v>742</v>
      </c>
      <c r="I135">
        <v>730</v>
      </c>
      <c r="J135">
        <v>637</v>
      </c>
      <c r="K135">
        <v>452</v>
      </c>
      <c r="L135">
        <v>430</v>
      </c>
      <c r="M135">
        <v>814</v>
      </c>
      <c r="N135">
        <v>456</v>
      </c>
      <c r="O135">
        <v>450</v>
      </c>
      <c r="P135">
        <v>358</v>
      </c>
      <c r="Q135">
        <v>654</v>
      </c>
      <c r="R135">
        <v>412</v>
      </c>
      <c r="S135">
        <v>547</v>
      </c>
      <c r="T135">
        <v>1244</v>
      </c>
      <c r="U135">
        <v>718</v>
      </c>
      <c r="V135">
        <v>821</v>
      </c>
      <c r="W135">
        <v>896</v>
      </c>
      <c r="X135">
        <v>1080</v>
      </c>
      <c r="Y135">
        <v>2184</v>
      </c>
      <c r="Z135">
        <f>SUM(B135:Y135)</f>
        <v>17644</v>
      </c>
    </row>
    <row r="136" spans="1:27" x14ac:dyDescent="0.3">
      <c r="A136" t="s">
        <v>0</v>
      </c>
      <c r="B136" t="s">
        <v>29</v>
      </c>
    </row>
    <row r="137" spans="1:27" x14ac:dyDescent="0.3">
      <c r="A137" t="s">
        <v>3</v>
      </c>
      <c r="B137" s="1">
        <v>46296</v>
      </c>
      <c r="C137" s="1">
        <v>46303</v>
      </c>
      <c r="D137" s="1">
        <v>46310</v>
      </c>
      <c r="E137" s="1">
        <v>46317</v>
      </c>
      <c r="F137" s="1">
        <v>46327</v>
      </c>
      <c r="G137" s="1">
        <v>46334</v>
      </c>
      <c r="H137" s="1">
        <v>46341</v>
      </c>
      <c r="I137" s="1">
        <v>46348</v>
      </c>
      <c r="J137" s="1">
        <v>46357</v>
      </c>
      <c r="K137" s="1">
        <v>46364</v>
      </c>
      <c r="L137" s="1">
        <v>46371</v>
      </c>
      <c r="M137" s="1">
        <v>46378</v>
      </c>
      <c r="N137" s="1">
        <v>46023</v>
      </c>
      <c r="O137" s="1">
        <v>46030</v>
      </c>
      <c r="P137" s="1">
        <v>46037</v>
      </c>
      <c r="Q137" s="1">
        <v>46044</v>
      </c>
      <c r="R137" s="1">
        <v>46054</v>
      </c>
      <c r="S137" s="1">
        <v>46061</v>
      </c>
      <c r="T137" s="1">
        <v>46068</v>
      </c>
      <c r="U137" s="1">
        <v>46075</v>
      </c>
      <c r="V137" s="1">
        <v>46082</v>
      </c>
      <c r="W137" s="1">
        <v>46089</v>
      </c>
      <c r="X137" s="1">
        <v>46096</v>
      </c>
      <c r="Y137" s="1">
        <v>46103</v>
      </c>
    </row>
    <row r="138" spans="1:27" x14ac:dyDescent="0.3">
      <c r="A138" t="s">
        <v>58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7" x14ac:dyDescent="0.3">
      <c r="A139" t="s">
        <v>48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f>SUM(B139:Y139)</f>
        <v>0</v>
      </c>
      <c r="AA139">
        <f>Z139/Z140</f>
        <v>0</v>
      </c>
    </row>
    <row r="140" spans="1:27" x14ac:dyDescent="0.3">
      <c r="A140" t="s">
        <v>2</v>
      </c>
      <c r="B140">
        <v>830</v>
      </c>
      <c r="C140">
        <v>1315</v>
      </c>
      <c r="D140">
        <v>1244</v>
      </c>
      <c r="E140">
        <v>1332</v>
      </c>
      <c r="F140">
        <v>1071</v>
      </c>
      <c r="G140">
        <v>1245</v>
      </c>
      <c r="H140">
        <v>903</v>
      </c>
      <c r="I140">
        <v>1182</v>
      </c>
      <c r="J140">
        <v>1045</v>
      </c>
      <c r="K140">
        <v>686</v>
      </c>
      <c r="L140">
        <v>430</v>
      </c>
      <c r="M140">
        <v>608</v>
      </c>
      <c r="N140">
        <v>324</v>
      </c>
      <c r="O140">
        <v>416</v>
      </c>
      <c r="P140">
        <v>356</v>
      </c>
      <c r="Q140">
        <v>433</v>
      </c>
      <c r="R140">
        <v>482</v>
      </c>
      <c r="S140">
        <v>514</v>
      </c>
      <c r="T140">
        <v>536</v>
      </c>
      <c r="U140">
        <v>532</v>
      </c>
      <c r="V140">
        <v>451</v>
      </c>
      <c r="W140">
        <v>435</v>
      </c>
      <c r="X140">
        <v>382</v>
      </c>
      <c r="Y140">
        <v>586</v>
      </c>
      <c r="Z140">
        <f>SUM(B140:Y140)</f>
        <v>17338</v>
      </c>
    </row>
    <row r="141" spans="1:27" x14ac:dyDescent="0.3">
      <c r="A141" t="s">
        <v>0</v>
      </c>
      <c r="B141" t="s">
        <v>30</v>
      </c>
    </row>
    <row r="142" spans="1:27" x14ac:dyDescent="0.3">
      <c r="A142" t="s">
        <v>3</v>
      </c>
      <c r="B142" s="1">
        <v>46296</v>
      </c>
      <c r="C142" s="1">
        <v>46303</v>
      </c>
      <c r="D142" s="1">
        <v>46310</v>
      </c>
      <c r="E142" s="1">
        <v>46317</v>
      </c>
      <c r="F142" s="1">
        <v>46327</v>
      </c>
      <c r="G142" s="1">
        <v>46334</v>
      </c>
      <c r="H142" s="1">
        <v>46341</v>
      </c>
      <c r="I142" s="1">
        <v>46348</v>
      </c>
      <c r="J142" s="1">
        <v>46357</v>
      </c>
      <c r="K142" s="1">
        <v>46364</v>
      </c>
      <c r="L142" s="1">
        <v>46371</v>
      </c>
      <c r="M142" s="1">
        <v>46378</v>
      </c>
      <c r="N142" s="1">
        <v>46023</v>
      </c>
      <c r="O142" s="1">
        <v>46030</v>
      </c>
      <c r="P142" s="1">
        <v>46037</v>
      </c>
      <c r="Q142" s="1">
        <v>46044</v>
      </c>
      <c r="R142" s="1">
        <v>46054</v>
      </c>
      <c r="S142" s="1">
        <v>46061</v>
      </c>
      <c r="T142" s="1">
        <v>46068</v>
      </c>
      <c r="U142" s="1">
        <v>46075</v>
      </c>
      <c r="V142" s="1">
        <v>46082</v>
      </c>
      <c r="W142" s="1">
        <v>46089</v>
      </c>
      <c r="X142" s="1">
        <v>46096</v>
      </c>
      <c r="Y142" s="1">
        <v>46103</v>
      </c>
    </row>
    <row r="143" spans="1:27" x14ac:dyDescent="0.3">
      <c r="A143" t="s">
        <v>58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7" x14ac:dyDescent="0.3">
      <c r="A144" t="s">
        <v>48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f>SUM(B144:Y144)</f>
        <v>0</v>
      </c>
      <c r="AA144">
        <f>Z144/Z145</f>
        <v>0</v>
      </c>
    </row>
    <row r="145" spans="1:27" x14ac:dyDescent="0.3">
      <c r="A145" t="s">
        <v>2</v>
      </c>
      <c r="B145">
        <v>35</v>
      </c>
      <c r="C145">
        <v>39</v>
      </c>
      <c r="D145">
        <v>39</v>
      </c>
      <c r="E145">
        <v>59</v>
      </c>
      <c r="F145">
        <v>66</v>
      </c>
      <c r="G145">
        <v>76</v>
      </c>
      <c r="H145">
        <v>35</v>
      </c>
      <c r="I145">
        <v>68</v>
      </c>
      <c r="J145">
        <v>25</v>
      </c>
      <c r="K145">
        <v>14</v>
      </c>
      <c r="L145">
        <v>66</v>
      </c>
      <c r="M145">
        <v>74</v>
      </c>
      <c r="N145">
        <v>30</v>
      </c>
      <c r="O145">
        <v>16</v>
      </c>
      <c r="P145">
        <v>31</v>
      </c>
      <c r="Q145">
        <v>45</v>
      </c>
      <c r="R145">
        <v>27</v>
      </c>
      <c r="S145">
        <v>28</v>
      </c>
      <c r="T145">
        <v>19</v>
      </c>
      <c r="U145">
        <v>20</v>
      </c>
      <c r="V145">
        <v>5</v>
      </c>
      <c r="W145">
        <v>6</v>
      </c>
      <c r="X145">
        <v>10</v>
      </c>
      <c r="Y145">
        <v>68</v>
      </c>
      <c r="Z145">
        <f>SUM(B145:Y145)</f>
        <v>901</v>
      </c>
    </row>
    <row r="146" spans="1:27" x14ac:dyDescent="0.3">
      <c r="A146" t="s">
        <v>0</v>
      </c>
      <c r="B146" t="s">
        <v>31</v>
      </c>
    </row>
    <row r="147" spans="1:27" x14ac:dyDescent="0.3">
      <c r="A147" t="s">
        <v>3</v>
      </c>
      <c r="B147" s="1">
        <v>46296</v>
      </c>
      <c r="C147" s="1">
        <v>46303</v>
      </c>
      <c r="D147" s="1">
        <v>46310</v>
      </c>
      <c r="E147" s="1">
        <v>46317</v>
      </c>
      <c r="F147" s="1">
        <v>46327</v>
      </c>
      <c r="G147" s="1">
        <v>46334</v>
      </c>
      <c r="H147" s="1">
        <v>46341</v>
      </c>
      <c r="I147" s="1">
        <v>46348</v>
      </c>
      <c r="J147" s="1">
        <v>46357</v>
      </c>
      <c r="K147" s="1">
        <v>46364</v>
      </c>
      <c r="L147" s="1">
        <v>46371</v>
      </c>
      <c r="M147" s="1">
        <v>46378</v>
      </c>
      <c r="N147" s="1">
        <v>46023</v>
      </c>
      <c r="O147" s="1">
        <v>46030</v>
      </c>
      <c r="P147" s="1">
        <v>46037</v>
      </c>
      <c r="Q147" s="1">
        <v>46044</v>
      </c>
      <c r="R147" s="1">
        <v>46054</v>
      </c>
      <c r="S147" s="1">
        <v>46061</v>
      </c>
      <c r="T147" s="1">
        <v>46068</v>
      </c>
      <c r="U147" s="1">
        <v>46075</v>
      </c>
      <c r="V147" s="1">
        <v>46082</v>
      </c>
      <c r="W147" s="1">
        <v>46089</v>
      </c>
      <c r="X147" s="1">
        <v>46096</v>
      </c>
      <c r="Y147" s="1">
        <v>46103</v>
      </c>
    </row>
    <row r="148" spans="1:27" x14ac:dyDescent="0.3">
      <c r="A148" t="s">
        <v>58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7" x14ac:dyDescent="0.3">
      <c r="A149" t="s">
        <v>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f>SUM(B149:Y149)</f>
        <v>0</v>
      </c>
      <c r="AA149">
        <f>Z149/Z150</f>
        <v>0</v>
      </c>
    </row>
    <row r="150" spans="1:27" x14ac:dyDescent="0.3">
      <c r="A150" t="s">
        <v>2</v>
      </c>
      <c r="B150">
        <v>36</v>
      </c>
      <c r="C150">
        <v>35</v>
      </c>
      <c r="D150">
        <v>44</v>
      </c>
      <c r="E150">
        <v>43</v>
      </c>
      <c r="F150">
        <v>42</v>
      </c>
      <c r="G150">
        <v>42</v>
      </c>
      <c r="H150">
        <v>33</v>
      </c>
      <c r="I150">
        <v>68</v>
      </c>
      <c r="J150">
        <v>33</v>
      </c>
      <c r="K150">
        <v>33</v>
      </c>
      <c r="L150">
        <v>24</v>
      </c>
      <c r="M150">
        <v>40</v>
      </c>
      <c r="N150">
        <v>25</v>
      </c>
      <c r="O150">
        <v>48</v>
      </c>
      <c r="P150">
        <v>36</v>
      </c>
      <c r="Q150">
        <v>56</v>
      </c>
      <c r="R150">
        <v>57</v>
      </c>
      <c r="S150">
        <v>4</v>
      </c>
      <c r="T150">
        <v>24</v>
      </c>
      <c r="U150">
        <v>16</v>
      </c>
      <c r="V150">
        <v>13</v>
      </c>
      <c r="W150">
        <v>12</v>
      </c>
      <c r="X150">
        <v>15</v>
      </c>
      <c r="Y150">
        <v>12</v>
      </c>
      <c r="Z150">
        <f>SUM(B150:Y150)</f>
        <v>791</v>
      </c>
    </row>
    <row r="151" spans="1:27" x14ac:dyDescent="0.3">
      <c r="A151" t="s">
        <v>0</v>
      </c>
      <c r="B151" t="s">
        <v>32</v>
      </c>
    </row>
    <row r="152" spans="1:27" x14ac:dyDescent="0.3">
      <c r="A152" t="s">
        <v>3</v>
      </c>
      <c r="B152" s="1">
        <v>46296</v>
      </c>
      <c r="C152" s="1">
        <v>46303</v>
      </c>
      <c r="D152" s="1">
        <v>46310</v>
      </c>
      <c r="E152" s="1">
        <v>46317</v>
      </c>
      <c r="F152" s="1">
        <v>46327</v>
      </c>
      <c r="G152" s="1">
        <v>46334</v>
      </c>
      <c r="H152" s="1">
        <v>46341</v>
      </c>
      <c r="I152" s="1">
        <v>46348</v>
      </c>
      <c r="J152" s="1">
        <v>46357</v>
      </c>
      <c r="K152" s="1">
        <v>46364</v>
      </c>
      <c r="L152" s="1">
        <v>46371</v>
      </c>
      <c r="M152" s="1">
        <v>46378</v>
      </c>
      <c r="N152" s="1">
        <v>46023</v>
      </c>
      <c r="O152" s="1">
        <v>46030</v>
      </c>
      <c r="P152" s="1">
        <v>46037</v>
      </c>
      <c r="Q152" s="1">
        <v>46044</v>
      </c>
      <c r="R152" s="1">
        <v>46054</v>
      </c>
      <c r="S152" s="1">
        <v>46061</v>
      </c>
      <c r="T152" s="1">
        <v>46068</v>
      </c>
      <c r="U152" s="1">
        <v>46075</v>
      </c>
      <c r="V152" s="1">
        <v>46082</v>
      </c>
      <c r="W152" s="1">
        <v>46089</v>
      </c>
      <c r="X152" s="1">
        <v>46096</v>
      </c>
      <c r="Y152" s="1">
        <v>46103</v>
      </c>
    </row>
    <row r="153" spans="1:27" x14ac:dyDescent="0.3">
      <c r="A153" t="s">
        <v>58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7" x14ac:dyDescent="0.3">
      <c r="A154" t="s">
        <v>48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f>SUM(B154:Y154)</f>
        <v>0</v>
      </c>
      <c r="AA154">
        <f>Z154/Z155</f>
        <v>0</v>
      </c>
    </row>
    <row r="155" spans="1:27" x14ac:dyDescent="0.3">
      <c r="A155" t="s">
        <v>2</v>
      </c>
      <c r="B155">
        <v>7807</v>
      </c>
      <c r="C155">
        <v>8508</v>
      </c>
      <c r="D155">
        <v>7584</v>
      </c>
      <c r="E155">
        <v>10329</v>
      </c>
      <c r="F155">
        <v>7191</v>
      </c>
      <c r="G155">
        <v>7505</v>
      </c>
      <c r="H155">
        <v>7667</v>
      </c>
      <c r="I155">
        <v>9476</v>
      </c>
      <c r="J155">
        <v>6741</v>
      </c>
      <c r="K155">
        <v>5728</v>
      </c>
      <c r="L155">
        <v>7133</v>
      </c>
      <c r="M155">
        <v>10315</v>
      </c>
      <c r="N155">
        <v>6781</v>
      </c>
      <c r="O155">
        <v>5444</v>
      </c>
      <c r="P155">
        <v>5963</v>
      </c>
      <c r="Q155">
        <v>9160</v>
      </c>
      <c r="R155">
        <v>6198</v>
      </c>
      <c r="S155">
        <v>5859</v>
      </c>
      <c r="T155">
        <v>5609</v>
      </c>
      <c r="U155">
        <v>4502</v>
      </c>
      <c r="V155">
        <v>4107</v>
      </c>
      <c r="W155">
        <v>4131</v>
      </c>
      <c r="X155">
        <v>4751</v>
      </c>
      <c r="Y155">
        <v>6158</v>
      </c>
      <c r="Z155">
        <f>SUM(B155:Y155)</f>
        <v>164647</v>
      </c>
    </row>
    <row r="156" spans="1:27" x14ac:dyDescent="0.3">
      <c r="A156" t="s">
        <v>0</v>
      </c>
      <c r="B156" t="s">
        <v>33</v>
      </c>
    </row>
    <row r="157" spans="1:27" x14ac:dyDescent="0.3">
      <c r="A157" t="s">
        <v>3</v>
      </c>
      <c r="B157" s="1">
        <v>46296</v>
      </c>
      <c r="C157" s="1">
        <v>46303</v>
      </c>
      <c r="D157" s="1">
        <v>46310</v>
      </c>
      <c r="E157" s="1">
        <v>46317</v>
      </c>
      <c r="F157" s="1">
        <v>46327</v>
      </c>
      <c r="G157" s="1">
        <v>46334</v>
      </c>
      <c r="H157" s="1">
        <v>46341</v>
      </c>
      <c r="I157" s="1">
        <v>46348</v>
      </c>
      <c r="J157" s="1">
        <v>46357</v>
      </c>
      <c r="K157" s="1">
        <v>46364</v>
      </c>
      <c r="L157" s="1">
        <v>46371</v>
      </c>
      <c r="M157" s="1">
        <v>46378</v>
      </c>
      <c r="N157" s="1">
        <v>46023</v>
      </c>
      <c r="O157" s="1">
        <v>46030</v>
      </c>
      <c r="P157" s="1">
        <v>46037</v>
      </c>
      <c r="Q157" s="1">
        <v>46044</v>
      </c>
      <c r="R157" s="1">
        <v>46054</v>
      </c>
      <c r="S157" s="1">
        <v>46061</v>
      </c>
      <c r="T157" s="1">
        <v>46068</v>
      </c>
      <c r="U157" s="1">
        <v>46075</v>
      </c>
      <c r="V157" s="1">
        <v>46082</v>
      </c>
      <c r="W157" s="1">
        <v>46089</v>
      </c>
      <c r="X157" s="1">
        <v>46096</v>
      </c>
      <c r="Y157" s="1">
        <v>46103</v>
      </c>
    </row>
    <row r="158" spans="1:27" x14ac:dyDescent="0.3">
      <c r="A158" t="s">
        <v>58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7" x14ac:dyDescent="0.3">
      <c r="A159" t="s">
        <v>48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f>SUM(B159:Y159)</f>
        <v>0</v>
      </c>
      <c r="AA159">
        <f>Z159/Z160</f>
        <v>0</v>
      </c>
    </row>
    <row r="160" spans="1:27" x14ac:dyDescent="0.3">
      <c r="A160" t="s">
        <v>2</v>
      </c>
      <c r="B160">
        <v>1467</v>
      </c>
      <c r="C160">
        <v>1623</v>
      </c>
      <c r="D160">
        <v>1929</v>
      </c>
      <c r="E160">
        <v>2795</v>
      </c>
      <c r="F160">
        <v>2057</v>
      </c>
      <c r="G160">
        <v>2268</v>
      </c>
      <c r="H160">
        <v>1878</v>
      </c>
      <c r="I160">
        <v>1436</v>
      </c>
      <c r="J160">
        <v>518</v>
      </c>
      <c r="K160">
        <v>307</v>
      </c>
      <c r="L160">
        <v>210</v>
      </c>
      <c r="M160">
        <v>349</v>
      </c>
      <c r="N160">
        <v>158</v>
      </c>
      <c r="O160">
        <v>130</v>
      </c>
      <c r="P160">
        <v>124</v>
      </c>
      <c r="Q160">
        <v>137</v>
      </c>
      <c r="R160">
        <v>80</v>
      </c>
      <c r="S160">
        <v>110</v>
      </c>
      <c r="T160">
        <v>87</v>
      </c>
      <c r="U160">
        <v>71</v>
      </c>
      <c r="V160">
        <v>97</v>
      </c>
      <c r="W160">
        <v>99</v>
      </c>
      <c r="X160">
        <v>116</v>
      </c>
      <c r="Y160">
        <v>150</v>
      </c>
      <c r="Z160">
        <f>SUM(B160:Y160)</f>
        <v>18196</v>
      </c>
    </row>
    <row r="161" spans="1:27" x14ac:dyDescent="0.3">
      <c r="A161" t="s">
        <v>91</v>
      </c>
    </row>
    <row r="162" spans="1:27" x14ac:dyDescent="0.3">
      <c r="A162">
        <f>((Z4*Z5)+(Z9*Z10)+(Z14*Z15)+(Z19*Z20)+(Z24*Z25)+(Z29*Z30)+(Z34*Z35)+(Z39*Z40)+(AA44*Z45)+(AA49*Z50)+(AA54*Z55)+(AA59*Z60)+(AA64*Z65)+(AA69*Z70)+(AA74*Z75)+(AA79*Z80)+(AA84*Z85)+(AA89*Z90)+(AA94*Z95)+(AA99*Z100)+(AA104*Z105)+(AA109*Z110)+(AA114*Z115)+(AA119*Z120)+(AA124*Z125)+(AA129*Z130)+(AA134*Z135)+(AA139*Z140)+(AA144*Z145)+(AA149*Z150)+(AA154*Z155)+(AA159*Z160))/(Z5+Z10+Z15+Z20+Z25+Z30+Z35+Z40+Z45+Z50+Z55+Z60+Z65+Z70+Z75+Z80+Z85+Z90+Z95+Z100+Z105+Z110+Z115+Z120+Z125+Z130+Z135+Z140+Z145+Z150+Z155+Z160)</f>
        <v>2.7165054873410843E-5</v>
      </c>
    </row>
    <row r="164" spans="1:27" x14ac:dyDescent="0.3">
      <c r="A164" t="s">
        <v>0</v>
      </c>
      <c r="B164" t="s">
        <v>34</v>
      </c>
    </row>
    <row r="165" spans="1:27" x14ac:dyDescent="0.3">
      <c r="A165" t="s">
        <v>3</v>
      </c>
      <c r="B165" s="1">
        <v>46296</v>
      </c>
      <c r="C165" s="1">
        <v>46303</v>
      </c>
      <c r="D165" s="1">
        <v>46310</v>
      </c>
      <c r="E165" s="1">
        <v>46317</v>
      </c>
      <c r="F165" s="1">
        <v>46327</v>
      </c>
      <c r="G165" s="1">
        <v>46334</v>
      </c>
      <c r="H165" s="1">
        <v>46341</v>
      </c>
      <c r="I165" s="1">
        <v>46348</v>
      </c>
      <c r="J165" s="1">
        <v>46357</v>
      </c>
      <c r="K165" s="1">
        <v>46364</v>
      </c>
      <c r="L165" s="1">
        <v>46371</v>
      </c>
      <c r="M165" s="1">
        <v>46378</v>
      </c>
      <c r="N165" s="1">
        <v>46023</v>
      </c>
      <c r="O165" s="1">
        <v>46030</v>
      </c>
      <c r="P165" s="1">
        <v>46037</v>
      </c>
      <c r="Q165" s="1">
        <v>46044</v>
      </c>
      <c r="R165" s="1">
        <v>46054</v>
      </c>
      <c r="S165" s="1">
        <v>46061</v>
      </c>
      <c r="T165" s="1">
        <v>46068</v>
      </c>
      <c r="U165" s="1">
        <v>46075</v>
      </c>
      <c r="V165" s="1">
        <v>46082</v>
      </c>
      <c r="W165" s="1">
        <v>46089</v>
      </c>
      <c r="X165" s="1">
        <v>46096</v>
      </c>
      <c r="Y165" s="1">
        <v>46103</v>
      </c>
    </row>
    <row r="166" spans="1:27" x14ac:dyDescent="0.3">
      <c r="A166" t="s">
        <v>58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7.8616352201257803E-2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0.19569471624266099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7" x14ac:dyDescent="0.3">
      <c r="A167" t="s">
        <v>48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f>SUM(B167:Y167)</f>
        <v>5</v>
      </c>
      <c r="AA167">
        <f>Z167/Z168</f>
        <v>3.3152101843256861E-4</v>
      </c>
    </row>
    <row r="168" spans="1:27" x14ac:dyDescent="0.3">
      <c r="A168" t="s">
        <v>2</v>
      </c>
      <c r="B168">
        <v>196</v>
      </c>
      <c r="C168">
        <v>211</v>
      </c>
      <c r="D168">
        <v>265</v>
      </c>
      <c r="E168">
        <v>1164</v>
      </c>
      <c r="F168">
        <v>1457</v>
      </c>
      <c r="G168">
        <v>1740</v>
      </c>
      <c r="H168">
        <v>1272</v>
      </c>
      <c r="I168">
        <v>1035</v>
      </c>
      <c r="J168">
        <v>637</v>
      </c>
      <c r="K168">
        <v>557</v>
      </c>
      <c r="L168">
        <v>371</v>
      </c>
      <c r="M168">
        <v>571</v>
      </c>
      <c r="N168">
        <v>264</v>
      </c>
      <c r="O168">
        <v>434</v>
      </c>
      <c r="P168">
        <v>511</v>
      </c>
      <c r="Q168">
        <v>654</v>
      </c>
      <c r="R168">
        <v>527</v>
      </c>
      <c r="S168">
        <v>773</v>
      </c>
      <c r="T168">
        <v>770</v>
      </c>
      <c r="U168">
        <v>518</v>
      </c>
      <c r="V168">
        <v>374</v>
      </c>
      <c r="W168">
        <v>259</v>
      </c>
      <c r="X168">
        <v>204</v>
      </c>
      <c r="Y168">
        <v>318</v>
      </c>
      <c r="Z168">
        <f>SUM(B168:Y168)</f>
        <v>15082</v>
      </c>
    </row>
    <row r="169" spans="1:27" x14ac:dyDescent="0.3">
      <c r="A169" t="s">
        <v>0</v>
      </c>
      <c r="B169" t="s">
        <v>35</v>
      </c>
    </row>
    <row r="170" spans="1:27" x14ac:dyDescent="0.3">
      <c r="A170" t="s">
        <v>3</v>
      </c>
      <c r="B170" s="1">
        <v>46296</v>
      </c>
      <c r="C170" s="1">
        <v>46303</v>
      </c>
      <c r="D170" s="1">
        <v>46310</v>
      </c>
      <c r="E170" s="1">
        <v>46317</v>
      </c>
      <c r="F170" s="1">
        <v>46327</v>
      </c>
      <c r="G170" s="1">
        <v>46334</v>
      </c>
      <c r="H170" s="1">
        <v>46341</v>
      </c>
      <c r="I170" s="1">
        <v>46348</v>
      </c>
      <c r="J170" s="1">
        <v>46357</v>
      </c>
      <c r="K170" s="1">
        <v>46364</v>
      </c>
      <c r="L170" s="1">
        <v>46371</v>
      </c>
      <c r="M170" s="1">
        <v>46378</v>
      </c>
      <c r="N170" s="1">
        <v>46023</v>
      </c>
      <c r="O170" s="1">
        <v>46030</v>
      </c>
      <c r="P170" s="1">
        <v>46037</v>
      </c>
      <c r="Q170" s="1">
        <v>46044</v>
      </c>
      <c r="R170" s="1">
        <v>46054</v>
      </c>
      <c r="S170" s="1">
        <v>46061</v>
      </c>
      <c r="T170" s="1">
        <v>46068</v>
      </c>
      <c r="U170" s="1">
        <v>46075</v>
      </c>
      <c r="V170" s="1">
        <v>46082</v>
      </c>
      <c r="W170" s="1">
        <v>46089</v>
      </c>
      <c r="X170" s="1">
        <v>46096</v>
      </c>
      <c r="Y170" s="1">
        <v>46103</v>
      </c>
    </row>
    <row r="171" spans="1:27" x14ac:dyDescent="0.3">
      <c r="A171" t="s">
        <v>58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7" x14ac:dyDescent="0.3">
      <c r="A172" t="s">
        <v>48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f>SUM(B172:Y172)</f>
        <v>0</v>
      </c>
      <c r="AA172">
        <f>Z172/Z173</f>
        <v>0</v>
      </c>
    </row>
    <row r="173" spans="1:27" x14ac:dyDescent="0.3">
      <c r="A173" t="s">
        <v>2</v>
      </c>
      <c r="B173">
        <v>9</v>
      </c>
      <c r="C173">
        <v>10</v>
      </c>
      <c r="D173">
        <v>52</v>
      </c>
      <c r="E173">
        <v>22</v>
      </c>
      <c r="F173">
        <v>8</v>
      </c>
      <c r="G173">
        <v>11</v>
      </c>
      <c r="H173">
        <v>25</v>
      </c>
      <c r="I173">
        <v>27</v>
      </c>
      <c r="J173">
        <v>32</v>
      </c>
      <c r="K173">
        <v>10</v>
      </c>
      <c r="L173">
        <v>5</v>
      </c>
      <c r="M173">
        <v>14</v>
      </c>
      <c r="N173">
        <v>26</v>
      </c>
      <c r="O173">
        <v>3</v>
      </c>
      <c r="P173">
        <v>4</v>
      </c>
      <c r="Q173">
        <v>6</v>
      </c>
      <c r="R173">
        <v>38</v>
      </c>
      <c r="S173">
        <v>33</v>
      </c>
      <c r="T173">
        <v>14</v>
      </c>
      <c r="U173">
        <v>39</v>
      </c>
      <c r="V173">
        <v>17</v>
      </c>
      <c r="W173">
        <v>9</v>
      </c>
      <c r="X173">
        <v>29</v>
      </c>
      <c r="Y173">
        <v>6</v>
      </c>
      <c r="Z173">
        <f>SUM(B173:Y173)</f>
        <v>449</v>
      </c>
    </row>
    <row r="174" spans="1:27" x14ac:dyDescent="0.3">
      <c r="A174" t="s">
        <v>0</v>
      </c>
      <c r="B174" t="s">
        <v>36</v>
      </c>
    </row>
    <row r="175" spans="1:27" x14ac:dyDescent="0.3">
      <c r="A175" t="s">
        <v>3</v>
      </c>
      <c r="B175" s="1">
        <v>46296</v>
      </c>
      <c r="C175" s="1">
        <v>46303</v>
      </c>
      <c r="D175" s="1">
        <v>46310</v>
      </c>
      <c r="E175" s="1">
        <v>46317</v>
      </c>
      <c r="F175" s="1">
        <v>46327</v>
      </c>
      <c r="G175" s="1">
        <v>46334</v>
      </c>
      <c r="H175" s="1">
        <v>46341</v>
      </c>
      <c r="I175" s="1">
        <v>46348</v>
      </c>
      <c r="J175" s="1">
        <v>46357</v>
      </c>
      <c r="K175" s="1">
        <v>46364</v>
      </c>
      <c r="L175" s="1">
        <v>46371</v>
      </c>
      <c r="M175" s="1">
        <v>46378</v>
      </c>
      <c r="N175" s="1">
        <v>46023</v>
      </c>
      <c r="O175" s="1">
        <v>46030</v>
      </c>
      <c r="P175" s="1">
        <v>46037</v>
      </c>
      <c r="Q175" s="1">
        <v>46044</v>
      </c>
      <c r="R175" s="1">
        <v>46054</v>
      </c>
      <c r="S175" s="1">
        <v>46061</v>
      </c>
      <c r="T175" s="1">
        <v>46068</v>
      </c>
      <c r="U175" s="1">
        <v>46075</v>
      </c>
      <c r="V175" s="1">
        <v>46082</v>
      </c>
      <c r="W175" s="1">
        <v>46089</v>
      </c>
      <c r="X175" s="1">
        <v>46096</v>
      </c>
      <c r="Y175" s="1">
        <v>46103</v>
      </c>
    </row>
    <row r="176" spans="1:27" x14ac:dyDescent="0.3">
      <c r="A176" t="s">
        <v>58</v>
      </c>
      <c r="B176">
        <v>0</v>
      </c>
      <c r="C176">
        <v>0.190114068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0.297619048</v>
      </c>
      <c r="J176">
        <v>0</v>
      </c>
      <c r="K176">
        <v>0.74349442399999999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0.20080321300000001</v>
      </c>
    </row>
    <row r="177" spans="1:27" x14ac:dyDescent="0.3">
      <c r="A177" t="s">
        <v>49</v>
      </c>
      <c r="B177">
        <v>0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</v>
      </c>
      <c r="Z177">
        <f>SUM(B177:Y177)</f>
        <v>6</v>
      </c>
      <c r="AA177">
        <f>Z177/Z178</f>
        <v>7.5084470028782379E-4</v>
      </c>
    </row>
    <row r="178" spans="1:27" x14ac:dyDescent="0.3">
      <c r="A178" t="s">
        <v>2</v>
      </c>
      <c r="B178">
        <v>484</v>
      </c>
      <c r="C178">
        <v>526</v>
      </c>
      <c r="D178">
        <v>333</v>
      </c>
      <c r="E178">
        <v>421</v>
      </c>
      <c r="F178">
        <v>266</v>
      </c>
      <c r="G178">
        <v>347</v>
      </c>
      <c r="H178">
        <v>275</v>
      </c>
      <c r="I178">
        <v>336</v>
      </c>
      <c r="J178">
        <v>252</v>
      </c>
      <c r="K178">
        <v>269</v>
      </c>
      <c r="L178">
        <v>248</v>
      </c>
      <c r="M178">
        <v>322</v>
      </c>
      <c r="N178">
        <v>228</v>
      </c>
      <c r="O178">
        <v>254</v>
      </c>
      <c r="P178">
        <v>258</v>
      </c>
      <c r="Q178">
        <v>347</v>
      </c>
      <c r="R178">
        <v>221</v>
      </c>
      <c r="S178">
        <v>253</v>
      </c>
      <c r="T178">
        <v>390</v>
      </c>
      <c r="U178">
        <v>455</v>
      </c>
      <c r="V178">
        <v>315</v>
      </c>
      <c r="W178">
        <v>404</v>
      </c>
      <c r="X178">
        <v>289</v>
      </c>
      <c r="Y178">
        <v>498</v>
      </c>
      <c r="Z178">
        <f>SUM(B178:Y178)</f>
        <v>7991</v>
      </c>
    </row>
    <row r="179" spans="1:27" x14ac:dyDescent="0.3">
      <c r="A179" t="s">
        <v>0</v>
      </c>
      <c r="B179" t="s">
        <v>37</v>
      </c>
    </row>
    <row r="180" spans="1:27" x14ac:dyDescent="0.3">
      <c r="A180" t="s">
        <v>3</v>
      </c>
      <c r="B180" s="1">
        <v>46296</v>
      </c>
      <c r="C180" s="1">
        <v>46303</v>
      </c>
      <c r="D180" s="1">
        <v>46310</v>
      </c>
      <c r="E180" s="1">
        <v>46317</v>
      </c>
      <c r="F180" s="1">
        <v>46327</v>
      </c>
      <c r="G180" s="1">
        <v>46334</v>
      </c>
      <c r="H180" s="1">
        <v>46341</v>
      </c>
      <c r="I180" s="1">
        <v>46348</v>
      </c>
      <c r="J180" s="1">
        <v>46357</v>
      </c>
      <c r="K180" s="1">
        <v>46364</v>
      </c>
      <c r="L180" s="1">
        <v>46371</v>
      </c>
      <c r="M180" s="1">
        <v>46378</v>
      </c>
      <c r="N180" s="1">
        <v>46023</v>
      </c>
      <c r="O180" s="1">
        <v>46030</v>
      </c>
      <c r="P180" s="1">
        <v>46037</v>
      </c>
      <c r="Q180" s="1">
        <v>46044</v>
      </c>
      <c r="R180" s="1">
        <v>46054</v>
      </c>
      <c r="S180" s="1">
        <v>46061</v>
      </c>
      <c r="T180" s="1">
        <v>46068</v>
      </c>
      <c r="U180" s="1">
        <v>46075</v>
      </c>
      <c r="V180" s="1">
        <v>46082</v>
      </c>
      <c r="W180" s="1">
        <v>46089</v>
      </c>
      <c r="X180" s="1">
        <v>46096</v>
      </c>
      <c r="Y180" s="1">
        <v>46103</v>
      </c>
    </row>
    <row r="181" spans="1:27" x14ac:dyDescent="0.3">
      <c r="A181" t="s">
        <v>58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7.9872204472843406E-2</v>
      </c>
      <c r="I181">
        <v>6.1957868649318397E-2</v>
      </c>
      <c r="J181">
        <v>0.27453671928620399</v>
      </c>
      <c r="K181">
        <v>0</v>
      </c>
      <c r="L181">
        <v>0</v>
      </c>
      <c r="M181">
        <v>5.9171597633136098E-2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7" x14ac:dyDescent="0.3">
      <c r="A182" t="s">
        <v>49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1</v>
      </c>
      <c r="I182">
        <v>1</v>
      </c>
      <c r="J182">
        <v>3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f>SUM(B182:Y182)</f>
        <v>11</v>
      </c>
      <c r="AA182">
        <f>Z182/Z183</f>
        <v>3.3938047636677775E-4</v>
      </c>
    </row>
    <row r="183" spans="1:27" x14ac:dyDescent="0.3">
      <c r="A183" t="s">
        <v>2</v>
      </c>
      <c r="B183">
        <v>1041</v>
      </c>
      <c r="C183">
        <v>1328</v>
      </c>
      <c r="D183">
        <v>1178</v>
      </c>
      <c r="E183">
        <v>1687</v>
      </c>
      <c r="F183">
        <v>1258</v>
      </c>
      <c r="G183">
        <v>1344</v>
      </c>
      <c r="H183">
        <v>1252</v>
      </c>
      <c r="I183">
        <v>1614</v>
      </c>
      <c r="J183">
        <v>1457</v>
      </c>
      <c r="K183">
        <v>1306</v>
      </c>
      <c r="L183">
        <v>1184</v>
      </c>
      <c r="M183">
        <v>1690</v>
      </c>
      <c r="N183">
        <v>1185</v>
      </c>
      <c r="O183">
        <v>1285</v>
      </c>
      <c r="P183">
        <v>1311</v>
      </c>
      <c r="Q183">
        <v>1877</v>
      </c>
      <c r="R183">
        <v>1212</v>
      </c>
      <c r="S183">
        <v>1177</v>
      </c>
      <c r="T183">
        <v>1339</v>
      </c>
      <c r="U183">
        <v>1384</v>
      </c>
      <c r="V183">
        <v>1118</v>
      </c>
      <c r="W183">
        <v>1263</v>
      </c>
      <c r="X183">
        <v>1195</v>
      </c>
      <c r="Y183">
        <v>1727</v>
      </c>
      <c r="Z183">
        <f>SUM(B183:Y183)</f>
        <v>32412</v>
      </c>
    </row>
    <row r="184" spans="1:27" x14ac:dyDescent="0.3">
      <c r="A184" t="s">
        <v>0</v>
      </c>
      <c r="B184" t="s">
        <v>38</v>
      </c>
    </row>
    <row r="185" spans="1:27" x14ac:dyDescent="0.3">
      <c r="A185" t="s">
        <v>3</v>
      </c>
      <c r="B185" s="1">
        <v>46296</v>
      </c>
      <c r="C185" s="1">
        <v>46303</v>
      </c>
      <c r="D185" s="1">
        <v>46310</v>
      </c>
      <c r="E185" s="1">
        <v>46317</v>
      </c>
      <c r="F185" s="1">
        <v>46327</v>
      </c>
      <c r="G185" s="1">
        <v>46334</v>
      </c>
      <c r="H185" s="1">
        <v>46341</v>
      </c>
      <c r="I185" s="1">
        <v>46348</v>
      </c>
      <c r="J185" s="1">
        <v>46357</v>
      </c>
      <c r="K185" s="1">
        <v>46364</v>
      </c>
      <c r="L185" s="1">
        <v>46371</v>
      </c>
      <c r="M185" s="1">
        <v>46378</v>
      </c>
      <c r="N185" s="1">
        <v>46023</v>
      </c>
      <c r="O185" s="1">
        <v>46030</v>
      </c>
      <c r="P185" s="1">
        <v>46037</v>
      </c>
      <c r="Q185" s="1">
        <v>46044</v>
      </c>
      <c r="R185" s="1">
        <v>46054</v>
      </c>
      <c r="S185" s="1">
        <v>46061</v>
      </c>
      <c r="T185" s="1">
        <v>46068</v>
      </c>
      <c r="U185" s="1">
        <v>46075</v>
      </c>
      <c r="V185" s="1">
        <v>46082</v>
      </c>
      <c r="W185" s="1">
        <v>46089</v>
      </c>
      <c r="X185" s="1">
        <v>46096</v>
      </c>
      <c r="Y185" s="1">
        <v>46103</v>
      </c>
    </row>
    <row r="186" spans="1:27" x14ac:dyDescent="0.3">
      <c r="A186" t="s">
        <v>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7" x14ac:dyDescent="0.3">
      <c r="A187" t="s">
        <v>48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f>SUM(B187:Y187)</f>
        <v>0</v>
      </c>
      <c r="AA187">
        <f>Z187/Z188</f>
        <v>0</v>
      </c>
    </row>
    <row r="188" spans="1:27" x14ac:dyDescent="0.3">
      <c r="A188" t="s">
        <v>2</v>
      </c>
      <c r="B188">
        <v>620</v>
      </c>
      <c r="C188">
        <v>902</v>
      </c>
      <c r="D188">
        <v>816</v>
      </c>
      <c r="E188">
        <v>923</v>
      </c>
      <c r="F188">
        <v>745</v>
      </c>
      <c r="G188">
        <v>683</v>
      </c>
      <c r="H188">
        <v>693</v>
      </c>
      <c r="I188">
        <v>902</v>
      </c>
      <c r="J188">
        <v>726</v>
      </c>
      <c r="K188">
        <v>775</v>
      </c>
      <c r="L188">
        <v>799</v>
      </c>
      <c r="M188">
        <v>1328</v>
      </c>
      <c r="N188">
        <v>730</v>
      </c>
      <c r="O188">
        <v>648</v>
      </c>
      <c r="P188">
        <v>703</v>
      </c>
      <c r="Q188">
        <v>962</v>
      </c>
      <c r="R188">
        <v>696</v>
      </c>
      <c r="S188">
        <v>751</v>
      </c>
      <c r="T188">
        <v>859</v>
      </c>
      <c r="U188">
        <v>766</v>
      </c>
      <c r="V188">
        <v>732</v>
      </c>
      <c r="W188">
        <v>746</v>
      </c>
      <c r="X188">
        <v>727</v>
      </c>
      <c r="Y188">
        <v>917</v>
      </c>
      <c r="Z188">
        <f>SUM(B188:Y188)</f>
        <v>19149</v>
      </c>
    </row>
    <row r="189" spans="1:27" x14ac:dyDescent="0.3">
      <c r="A189" t="s">
        <v>0</v>
      </c>
      <c r="B189" t="s">
        <v>93</v>
      </c>
    </row>
    <row r="190" spans="1:27" x14ac:dyDescent="0.3">
      <c r="A190" t="s">
        <v>3</v>
      </c>
      <c r="B190" s="1">
        <v>46296</v>
      </c>
      <c r="C190" s="1">
        <v>46303</v>
      </c>
      <c r="D190" s="1">
        <v>46310</v>
      </c>
      <c r="E190" s="1">
        <v>46317</v>
      </c>
      <c r="F190" s="1">
        <v>46327</v>
      </c>
      <c r="G190" s="1">
        <v>46334</v>
      </c>
      <c r="H190" s="1">
        <v>46341</v>
      </c>
      <c r="I190" s="1">
        <v>46348</v>
      </c>
      <c r="J190" s="1">
        <v>46357</v>
      </c>
      <c r="K190" s="1">
        <v>46364</v>
      </c>
      <c r="L190" s="1">
        <v>46371</v>
      </c>
      <c r="M190" s="1">
        <v>46378</v>
      </c>
      <c r="N190" s="1">
        <v>46023</v>
      </c>
      <c r="O190" s="1">
        <v>46030</v>
      </c>
      <c r="P190" s="1">
        <v>46037</v>
      </c>
      <c r="Q190" s="1">
        <v>46044</v>
      </c>
      <c r="R190" s="1">
        <v>46054</v>
      </c>
      <c r="S190" s="1">
        <v>46061</v>
      </c>
      <c r="T190" s="1">
        <v>46068</v>
      </c>
      <c r="U190" s="1">
        <v>46075</v>
      </c>
      <c r="V190" s="1">
        <v>46082</v>
      </c>
      <c r="W190" s="1">
        <v>46089</v>
      </c>
      <c r="X190" s="1">
        <v>46096</v>
      </c>
      <c r="Y190" s="1">
        <v>46103</v>
      </c>
    </row>
    <row r="191" spans="1:27" x14ac:dyDescent="0.3">
      <c r="A191" t="s">
        <v>58</v>
      </c>
      <c r="B191">
        <v>4.1625907965117401E-3</v>
      </c>
      <c r="C191">
        <v>3.7438460530502902E-3</v>
      </c>
      <c r="D191">
        <v>1.95579894386857E-3</v>
      </c>
      <c r="E191">
        <v>7.2462717931624102E-3</v>
      </c>
      <c r="F191">
        <v>2.3506012114637001E-2</v>
      </c>
      <c r="G191">
        <v>2.4772622712956001E-2</v>
      </c>
      <c r="H191">
        <v>3.70416100753179E-2</v>
      </c>
      <c r="I191">
        <v>4.9554695995705202E-2</v>
      </c>
      <c r="J191">
        <v>3.29495005549389E-2</v>
      </c>
      <c r="K191">
        <v>5.0311753184913599E-2</v>
      </c>
      <c r="L191">
        <v>6.0801567329291102E-2</v>
      </c>
      <c r="M191">
        <v>5.4705139299177398E-2</v>
      </c>
      <c r="N191">
        <v>5.53923625681913E-2</v>
      </c>
      <c r="O191">
        <v>3.5560728025086398E-2</v>
      </c>
      <c r="P191">
        <v>3.7529951788446501E-2</v>
      </c>
      <c r="Q191">
        <v>3.8038884192730299E-2</v>
      </c>
      <c r="R191">
        <v>2.9164438827589501E-2</v>
      </c>
      <c r="S191">
        <v>1.3000390011700299E-2</v>
      </c>
      <c r="T191">
        <v>8.1114696180399001E-3</v>
      </c>
      <c r="U191">
        <v>1.20713011521386E-2</v>
      </c>
      <c r="V191">
        <v>4.6280583752429704E-3</v>
      </c>
      <c r="W191">
        <v>6.3536438147277401E-3</v>
      </c>
      <c r="X191">
        <v>1.7417051293215999E-3</v>
      </c>
      <c r="Y191">
        <v>2.55264837268666E-3</v>
      </c>
    </row>
    <row r="192" spans="1:27" x14ac:dyDescent="0.3">
      <c r="A192" t="s">
        <v>48</v>
      </c>
      <c r="B192">
        <v>2</v>
      </c>
      <c r="C192">
        <v>2</v>
      </c>
      <c r="D192">
        <v>1</v>
      </c>
      <c r="E192">
        <v>6</v>
      </c>
      <c r="F192">
        <v>11</v>
      </c>
      <c r="G192">
        <v>13</v>
      </c>
      <c r="H192">
        <v>22</v>
      </c>
      <c r="I192">
        <v>39</v>
      </c>
      <c r="J192">
        <v>21</v>
      </c>
      <c r="K192">
        <v>30</v>
      </c>
      <c r="L192">
        <v>45</v>
      </c>
      <c r="M192">
        <v>59</v>
      </c>
      <c r="N192">
        <v>34</v>
      </c>
      <c r="O192">
        <v>25</v>
      </c>
      <c r="P192">
        <v>28</v>
      </c>
      <c r="Q192">
        <v>35</v>
      </c>
      <c r="R192">
        <v>19</v>
      </c>
      <c r="S192">
        <v>14</v>
      </c>
      <c r="T192">
        <v>20</v>
      </c>
      <c r="U192">
        <v>10</v>
      </c>
      <c r="V192">
        <v>3</v>
      </c>
      <c r="W192">
        <v>5</v>
      </c>
      <c r="X192">
        <v>3</v>
      </c>
      <c r="Y192">
        <v>2</v>
      </c>
      <c r="Z192">
        <f>SUM(B192:Y192)</f>
        <v>449</v>
      </c>
      <c r="AA192">
        <f>Z192/Z193</f>
        <v>2.5761572913283906E-4</v>
      </c>
    </row>
    <row r="193" spans="1:29" x14ac:dyDescent="0.3">
      <c r="A193" t="s">
        <v>2</v>
      </c>
      <c r="B193">
        <v>48047</v>
      </c>
      <c r="C193">
        <v>53421</v>
      </c>
      <c r="D193">
        <v>51130</v>
      </c>
      <c r="E193">
        <v>69001</v>
      </c>
      <c r="F193">
        <v>55305</v>
      </c>
      <c r="G193">
        <v>56514</v>
      </c>
      <c r="H193">
        <v>56693</v>
      </c>
      <c r="I193">
        <v>72647</v>
      </c>
      <c r="J193">
        <v>57664</v>
      </c>
      <c r="K193">
        <v>55653</v>
      </c>
      <c r="L193">
        <v>59209</v>
      </c>
      <c r="M193">
        <v>100539</v>
      </c>
      <c r="N193">
        <v>59575</v>
      </c>
      <c r="O193">
        <v>61866</v>
      </c>
      <c r="P193">
        <v>69278</v>
      </c>
      <c r="Q193">
        <v>94640</v>
      </c>
      <c r="R193">
        <v>61719</v>
      </c>
      <c r="S193">
        <v>99997</v>
      </c>
      <c r="T193">
        <v>221908</v>
      </c>
      <c r="U193">
        <v>74557</v>
      </c>
      <c r="V193">
        <v>64822</v>
      </c>
      <c r="W193">
        <v>62956</v>
      </c>
      <c r="X193">
        <v>57415</v>
      </c>
      <c r="Y193">
        <v>78350</v>
      </c>
      <c r="Z193">
        <f>SUM(B193:Y193)</f>
        <v>1742906</v>
      </c>
    </row>
    <row r="194" spans="1:29" x14ac:dyDescent="0.3">
      <c r="A194" t="s">
        <v>0</v>
      </c>
      <c r="B194" t="s">
        <v>39</v>
      </c>
    </row>
    <row r="195" spans="1:29" x14ac:dyDescent="0.3">
      <c r="A195" t="s">
        <v>3</v>
      </c>
      <c r="B195" s="1">
        <v>46296</v>
      </c>
      <c r="C195" s="1">
        <v>46303</v>
      </c>
      <c r="D195" s="1">
        <v>46310</v>
      </c>
      <c r="E195" s="1">
        <v>46317</v>
      </c>
      <c r="F195" s="1">
        <v>46327</v>
      </c>
      <c r="G195" s="1">
        <v>46334</v>
      </c>
      <c r="H195" s="1">
        <v>46341</v>
      </c>
      <c r="I195" s="1">
        <v>46348</v>
      </c>
      <c r="J195" s="1">
        <v>46357</v>
      </c>
      <c r="K195" s="1">
        <v>46364</v>
      </c>
      <c r="L195" s="1">
        <v>46371</v>
      </c>
      <c r="M195" s="1">
        <v>46378</v>
      </c>
      <c r="N195" s="1">
        <v>46023</v>
      </c>
      <c r="O195" s="1">
        <v>46030</v>
      </c>
      <c r="P195" s="1">
        <v>46037</v>
      </c>
      <c r="Q195" s="1">
        <v>46044</v>
      </c>
      <c r="R195" s="1">
        <v>46054</v>
      </c>
      <c r="S195" s="1">
        <v>46061</v>
      </c>
      <c r="T195" s="1">
        <v>46068</v>
      </c>
      <c r="U195" s="1">
        <v>46075</v>
      </c>
      <c r="V195" s="1">
        <v>46082</v>
      </c>
      <c r="W195" s="1">
        <v>46089</v>
      </c>
      <c r="X195" s="1">
        <v>46096</v>
      </c>
      <c r="Y195" s="1">
        <v>46103</v>
      </c>
    </row>
    <row r="196" spans="1:29" x14ac:dyDescent="0.3">
      <c r="A196" t="s">
        <v>58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9" x14ac:dyDescent="0.3">
      <c r="A197" t="s">
        <v>48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f>SUM(B197:Y197)</f>
        <v>0</v>
      </c>
      <c r="AA197">
        <f>Z197/Z198</f>
        <v>0</v>
      </c>
    </row>
    <row r="198" spans="1:29" x14ac:dyDescent="0.3">
      <c r="A198" t="s">
        <v>2</v>
      </c>
      <c r="B198">
        <v>30</v>
      </c>
      <c r="C198">
        <v>18</v>
      </c>
      <c r="D198">
        <v>20</v>
      </c>
      <c r="E198">
        <v>11</v>
      </c>
      <c r="F198">
        <v>33</v>
      </c>
      <c r="G198">
        <v>22</v>
      </c>
      <c r="H198">
        <v>37</v>
      </c>
      <c r="I198">
        <v>42</v>
      </c>
      <c r="J198">
        <v>30</v>
      </c>
      <c r="K198">
        <v>5</v>
      </c>
      <c r="L198">
        <v>36</v>
      </c>
      <c r="M198">
        <v>29</v>
      </c>
      <c r="N198">
        <v>18</v>
      </c>
      <c r="O198">
        <v>94</v>
      </c>
      <c r="P198">
        <v>38</v>
      </c>
      <c r="Q198">
        <v>48</v>
      </c>
      <c r="R198">
        <v>9</v>
      </c>
      <c r="S198">
        <v>38</v>
      </c>
      <c r="T198">
        <v>60</v>
      </c>
      <c r="U198">
        <v>47</v>
      </c>
      <c r="V198">
        <v>59</v>
      </c>
      <c r="W198">
        <v>141</v>
      </c>
      <c r="X198">
        <v>60</v>
      </c>
      <c r="Y198">
        <v>69</v>
      </c>
      <c r="Z198">
        <f>SUM(B198:Y198)</f>
        <v>994</v>
      </c>
    </row>
    <row r="199" spans="1:29" x14ac:dyDescent="0.3">
      <c r="A199" t="s">
        <v>0</v>
      </c>
      <c r="B199" t="s">
        <v>40</v>
      </c>
    </row>
    <row r="200" spans="1:29" x14ac:dyDescent="0.3">
      <c r="A200" t="s">
        <v>3</v>
      </c>
      <c r="B200" s="1">
        <v>46296</v>
      </c>
      <c r="C200" s="1">
        <v>46303</v>
      </c>
      <c r="D200" s="1">
        <v>46310</v>
      </c>
      <c r="E200" s="1">
        <v>46317</v>
      </c>
      <c r="F200" s="1">
        <v>46327</v>
      </c>
      <c r="G200" s="1">
        <v>46334</v>
      </c>
      <c r="H200" s="1">
        <v>46341</v>
      </c>
      <c r="I200" s="1">
        <v>46348</v>
      </c>
      <c r="J200" s="1">
        <v>46357</v>
      </c>
      <c r="K200" s="1">
        <v>46364</v>
      </c>
      <c r="L200" s="1">
        <v>46371</v>
      </c>
      <c r="M200" s="1">
        <v>46378</v>
      </c>
      <c r="N200" s="1">
        <v>46023</v>
      </c>
      <c r="O200" s="1">
        <v>46030</v>
      </c>
      <c r="P200" s="1">
        <v>46037</v>
      </c>
      <c r="Q200" s="1">
        <v>46044</v>
      </c>
      <c r="R200" s="1">
        <v>46054</v>
      </c>
      <c r="S200" s="1">
        <v>46061</v>
      </c>
      <c r="T200" s="1">
        <v>46068</v>
      </c>
      <c r="U200" s="1">
        <v>46075</v>
      </c>
      <c r="V200" s="1">
        <v>46082</v>
      </c>
      <c r="W200" s="1">
        <v>46089</v>
      </c>
      <c r="X200" s="1">
        <v>46096</v>
      </c>
      <c r="Y200" s="1">
        <v>46103</v>
      </c>
    </row>
    <row r="201" spans="1:29" x14ac:dyDescent="0.3">
      <c r="A201" t="s">
        <v>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9" x14ac:dyDescent="0.3">
      <c r="A202" t="s">
        <v>48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f>SUM(B202:Y202)</f>
        <v>0</v>
      </c>
      <c r="AA202">
        <f>Z202/Z203</f>
        <v>0</v>
      </c>
    </row>
    <row r="203" spans="1:29" x14ac:dyDescent="0.3">
      <c r="A203" t="s">
        <v>2</v>
      </c>
      <c r="B203">
        <v>73</v>
      </c>
      <c r="C203">
        <v>88</v>
      </c>
      <c r="D203">
        <v>67</v>
      </c>
      <c r="E203">
        <v>139</v>
      </c>
      <c r="F203">
        <v>72</v>
      </c>
      <c r="G203">
        <v>92</v>
      </c>
      <c r="H203">
        <v>81</v>
      </c>
      <c r="I203">
        <v>103</v>
      </c>
      <c r="J203">
        <v>67</v>
      </c>
      <c r="K203">
        <v>83</v>
      </c>
      <c r="L203">
        <v>81</v>
      </c>
      <c r="M203">
        <v>158</v>
      </c>
      <c r="N203">
        <v>62</v>
      </c>
      <c r="O203">
        <v>71</v>
      </c>
      <c r="P203">
        <v>56</v>
      </c>
      <c r="Q203">
        <v>126</v>
      </c>
      <c r="R203">
        <v>74</v>
      </c>
      <c r="S203">
        <v>91</v>
      </c>
      <c r="T203">
        <v>645</v>
      </c>
      <c r="U203">
        <v>125</v>
      </c>
      <c r="V203">
        <v>65</v>
      </c>
      <c r="W203">
        <v>93</v>
      </c>
      <c r="X203">
        <v>86</v>
      </c>
      <c r="Y203">
        <v>100</v>
      </c>
      <c r="Z203">
        <f>SUM(B203:Y203)</f>
        <v>2698</v>
      </c>
    </row>
    <row r="204" spans="1:29" x14ac:dyDescent="0.3">
      <c r="A204" t="s">
        <v>0</v>
      </c>
      <c r="B204" t="s">
        <v>41</v>
      </c>
    </row>
    <row r="205" spans="1:29" x14ac:dyDescent="0.3">
      <c r="A205" t="s">
        <v>3</v>
      </c>
      <c r="B205" s="1">
        <v>46296</v>
      </c>
      <c r="C205" s="1">
        <v>46303</v>
      </c>
      <c r="D205" s="1">
        <v>46310</v>
      </c>
      <c r="E205" s="1">
        <v>46317</v>
      </c>
      <c r="F205" s="1">
        <v>46327</v>
      </c>
      <c r="G205" s="1">
        <v>46334</v>
      </c>
      <c r="H205" s="1">
        <v>46341</v>
      </c>
      <c r="I205" s="1">
        <v>46348</v>
      </c>
      <c r="J205" s="1">
        <v>46357</v>
      </c>
      <c r="K205" s="1">
        <v>46364</v>
      </c>
      <c r="L205" s="1">
        <v>46371</v>
      </c>
      <c r="M205" s="1">
        <v>46378</v>
      </c>
      <c r="N205" s="1">
        <v>46023</v>
      </c>
      <c r="O205" s="1">
        <v>46030</v>
      </c>
      <c r="P205" s="1">
        <v>46037</v>
      </c>
      <c r="Q205" s="1">
        <v>46044</v>
      </c>
      <c r="R205" s="1">
        <v>46054</v>
      </c>
      <c r="S205" s="1">
        <v>46061</v>
      </c>
      <c r="T205" s="1">
        <v>46068</v>
      </c>
      <c r="U205" s="1">
        <v>46075</v>
      </c>
      <c r="V205" s="1">
        <v>46082</v>
      </c>
      <c r="W205" s="1">
        <v>46089</v>
      </c>
      <c r="X205" s="1">
        <v>46096</v>
      </c>
      <c r="Y205" s="1">
        <v>46103</v>
      </c>
    </row>
    <row r="206" spans="1:29" x14ac:dyDescent="0.3">
      <c r="A206" t="s">
        <v>58</v>
      </c>
      <c r="B206">
        <v>0</v>
      </c>
      <c r="C206">
        <v>0</v>
      </c>
      <c r="D206">
        <v>0</v>
      </c>
      <c r="E206">
        <v>0.28328611898016998</v>
      </c>
      <c r="F206">
        <v>1.03448275862068</v>
      </c>
      <c r="G206">
        <v>1.15606936416184</v>
      </c>
      <c r="H206">
        <v>2.0887728459530002</v>
      </c>
      <c r="I206">
        <v>1.6563146997929601</v>
      </c>
      <c r="J206">
        <v>1.1764705882352899</v>
      </c>
      <c r="K206">
        <v>2.3529411764705799</v>
      </c>
      <c r="L206">
        <v>1.3145539906103201</v>
      </c>
      <c r="M206">
        <v>0.98406747891283897</v>
      </c>
      <c r="N206">
        <v>2.6170798898071599</v>
      </c>
      <c r="O206">
        <v>1.45772594752186</v>
      </c>
      <c r="P206">
        <v>2.5380710659898398</v>
      </c>
      <c r="Q206">
        <v>1.24416796267496</v>
      </c>
      <c r="R206">
        <v>0.99833610648918403</v>
      </c>
      <c r="S206">
        <v>0.337268128161888</v>
      </c>
      <c r="T206">
        <v>0.32760032760032698</v>
      </c>
      <c r="U206">
        <v>0.56710775047258899</v>
      </c>
      <c r="V206">
        <v>0</v>
      </c>
      <c r="W206">
        <v>0</v>
      </c>
      <c r="X206">
        <v>0</v>
      </c>
      <c r="Y206">
        <v>0</v>
      </c>
    </row>
    <row r="207" spans="1:29" x14ac:dyDescent="0.3">
      <c r="A207" t="s">
        <v>49</v>
      </c>
      <c r="B207">
        <v>0</v>
      </c>
      <c r="C207">
        <v>0</v>
      </c>
      <c r="D207">
        <v>0</v>
      </c>
      <c r="E207">
        <v>1</v>
      </c>
      <c r="F207">
        <v>3</v>
      </c>
      <c r="G207">
        <v>3</v>
      </c>
      <c r="H207">
        <v>9</v>
      </c>
      <c r="I207">
        <v>9</v>
      </c>
      <c r="J207">
        <v>6</v>
      </c>
      <c r="K207">
        <v>14</v>
      </c>
      <c r="L207">
        <v>17</v>
      </c>
      <c r="M207">
        <v>22</v>
      </c>
      <c r="N207">
        <v>20</v>
      </c>
      <c r="O207">
        <v>13</v>
      </c>
      <c r="P207">
        <v>14</v>
      </c>
      <c r="Q207">
        <v>16</v>
      </c>
      <c r="R207">
        <v>7</v>
      </c>
      <c r="S207">
        <v>4</v>
      </c>
      <c r="T207">
        <v>5</v>
      </c>
      <c r="U207">
        <v>3</v>
      </c>
      <c r="V207">
        <v>0</v>
      </c>
      <c r="W207">
        <v>0</v>
      </c>
      <c r="X207">
        <v>0</v>
      </c>
      <c r="Y207">
        <v>0</v>
      </c>
      <c r="Z207">
        <f>SUM(B207:Y207)</f>
        <v>166</v>
      </c>
      <c r="AA207">
        <f>Z207/Z208</f>
        <v>1.162546396806499E-2</v>
      </c>
      <c r="AC207" t="s">
        <v>92</v>
      </c>
    </row>
    <row r="208" spans="1:29" x14ac:dyDescent="0.3">
      <c r="A208" t="s">
        <v>2</v>
      </c>
      <c r="B208">
        <v>338</v>
      </c>
      <c r="C208">
        <v>233</v>
      </c>
      <c r="D208">
        <v>260</v>
      </c>
      <c r="E208">
        <v>353</v>
      </c>
      <c r="F208">
        <v>290</v>
      </c>
      <c r="G208">
        <v>346</v>
      </c>
      <c r="H208">
        <v>383</v>
      </c>
      <c r="I208">
        <v>483</v>
      </c>
      <c r="J208">
        <v>510</v>
      </c>
      <c r="K208">
        <v>595</v>
      </c>
      <c r="L208">
        <v>1065</v>
      </c>
      <c r="M208">
        <v>2134</v>
      </c>
      <c r="N208">
        <v>726</v>
      </c>
      <c r="O208">
        <v>686</v>
      </c>
      <c r="P208">
        <v>591</v>
      </c>
      <c r="Q208">
        <v>1286</v>
      </c>
      <c r="R208">
        <v>601</v>
      </c>
      <c r="S208">
        <v>593</v>
      </c>
      <c r="T208">
        <v>1221</v>
      </c>
      <c r="U208">
        <v>529</v>
      </c>
      <c r="V208">
        <v>256</v>
      </c>
      <c r="W208">
        <v>372</v>
      </c>
      <c r="X208">
        <v>147</v>
      </c>
      <c r="Y208">
        <v>281</v>
      </c>
      <c r="Z208">
        <f>SUM(B208:Y208)</f>
        <v>14279</v>
      </c>
      <c r="AC208">
        <f>((AA207*Z208)+(AA212*Z213))/(Z208+Z213)</f>
        <v>3.6195386795513139E-3</v>
      </c>
    </row>
    <row r="209" spans="1:27" x14ac:dyDescent="0.3">
      <c r="A209" t="s">
        <v>0</v>
      </c>
      <c r="B209" t="s">
        <v>42</v>
      </c>
    </row>
    <row r="210" spans="1:27" x14ac:dyDescent="0.3">
      <c r="A210" t="s">
        <v>3</v>
      </c>
      <c r="B210" s="1">
        <v>46296</v>
      </c>
      <c r="C210" s="1">
        <v>46303</v>
      </c>
      <c r="D210" s="1">
        <v>46310</v>
      </c>
      <c r="E210" s="1">
        <v>46317</v>
      </c>
      <c r="F210" s="1">
        <v>46327</v>
      </c>
      <c r="G210" s="1">
        <v>46334</v>
      </c>
      <c r="H210" s="1">
        <v>46341</v>
      </c>
      <c r="I210" s="1">
        <v>46348</v>
      </c>
      <c r="J210" s="1">
        <v>46357</v>
      </c>
      <c r="K210" s="1">
        <v>46364</v>
      </c>
      <c r="L210" s="1">
        <v>46371</v>
      </c>
      <c r="M210" s="1">
        <v>46378</v>
      </c>
      <c r="N210" s="1">
        <v>46023</v>
      </c>
      <c r="O210" s="1">
        <v>46030</v>
      </c>
      <c r="P210" s="1">
        <v>46037</v>
      </c>
      <c r="Q210" s="1">
        <v>46044</v>
      </c>
      <c r="R210" s="1">
        <v>46054</v>
      </c>
      <c r="S210" s="1">
        <v>46061</v>
      </c>
      <c r="T210" s="1">
        <v>46068</v>
      </c>
      <c r="U210" s="1">
        <v>46075</v>
      </c>
      <c r="V210" s="1">
        <v>46082</v>
      </c>
      <c r="W210" s="1">
        <v>46089</v>
      </c>
      <c r="X210" s="1">
        <v>46096</v>
      </c>
      <c r="Y210" s="1">
        <v>46103</v>
      </c>
    </row>
    <row r="211" spans="1:27" x14ac:dyDescent="0.3">
      <c r="A211" t="s">
        <v>58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0.151400454201362</v>
      </c>
      <c r="I211">
        <v>0.106269925611052</v>
      </c>
      <c r="J211">
        <v>0.33090668431502301</v>
      </c>
      <c r="K211">
        <v>0.29976019184652197</v>
      </c>
      <c r="L211">
        <v>0.35492457852706299</v>
      </c>
      <c r="M211">
        <v>0.22255192878338201</v>
      </c>
      <c r="N211">
        <v>0.24437927663734099</v>
      </c>
      <c r="O211">
        <v>5.2770448548812597E-2</v>
      </c>
      <c r="P211">
        <v>6.1274509803921497E-2</v>
      </c>
      <c r="Q211">
        <v>3.3156498673740001E-2</v>
      </c>
      <c r="R211">
        <v>5.09943906170321E-2</v>
      </c>
      <c r="S211">
        <v>0</v>
      </c>
      <c r="T211">
        <v>2.1677866897897202E-2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7" x14ac:dyDescent="0.3">
      <c r="A212" t="s">
        <v>49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1</v>
      </c>
      <c r="J212">
        <v>5</v>
      </c>
      <c r="K212">
        <v>5</v>
      </c>
      <c r="L212">
        <v>10</v>
      </c>
      <c r="M212">
        <v>11</v>
      </c>
      <c r="N212">
        <v>5</v>
      </c>
      <c r="O212">
        <v>1</v>
      </c>
      <c r="P212">
        <v>2</v>
      </c>
      <c r="Q212">
        <v>1</v>
      </c>
      <c r="R212">
        <v>2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f>SUM(B212:Y212)</f>
        <v>46</v>
      </c>
      <c r="AA212">
        <f>Z212/Z213</f>
        <v>1.0385622685812337E-3</v>
      </c>
    </row>
    <row r="213" spans="1:27" x14ac:dyDescent="0.3">
      <c r="A213" t="s">
        <v>2</v>
      </c>
      <c r="B213">
        <v>1135</v>
      </c>
      <c r="C213">
        <v>1256</v>
      </c>
      <c r="D213">
        <v>1091</v>
      </c>
      <c r="E213">
        <v>1482</v>
      </c>
      <c r="F213">
        <v>1138</v>
      </c>
      <c r="G213">
        <v>1307</v>
      </c>
      <c r="H213">
        <v>1321</v>
      </c>
      <c r="I213">
        <v>1882</v>
      </c>
      <c r="J213">
        <v>1511</v>
      </c>
      <c r="K213">
        <v>1668</v>
      </c>
      <c r="L213">
        <v>2254</v>
      </c>
      <c r="M213">
        <v>4044</v>
      </c>
      <c r="N213">
        <v>2046</v>
      </c>
      <c r="O213">
        <v>1895</v>
      </c>
      <c r="P213">
        <v>1632</v>
      </c>
      <c r="Q213">
        <v>3016</v>
      </c>
      <c r="R213">
        <v>1961</v>
      </c>
      <c r="S213">
        <v>2040</v>
      </c>
      <c r="T213">
        <v>4613</v>
      </c>
      <c r="U213">
        <v>1768</v>
      </c>
      <c r="V213">
        <v>1505</v>
      </c>
      <c r="W213">
        <v>1246</v>
      </c>
      <c r="X213">
        <v>1059</v>
      </c>
      <c r="Y213">
        <v>1422</v>
      </c>
      <c r="Z213">
        <f>SUM(B213:Y213)</f>
        <v>44292</v>
      </c>
    </row>
    <row r="214" spans="1:27" x14ac:dyDescent="0.3">
      <c r="A214" t="s">
        <v>0</v>
      </c>
      <c r="B214" t="s">
        <v>50</v>
      </c>
    </row>
    <row r="215" spans="1:27" x14ac:dyDescent="0.3">
      <c r="A215" t="s">
        <v>3</v>
      </c>
      <c r="B215" s="1">
        <v>46296</v>
      </c>
      <c r="C215" s="1">
        <v>46303</v>
      </c>
      <c r="D215" s="1">
        <v>46310</v>
      </c>
      <c r="E215" s="1">
        <v>46317</v>
      </c>
      <c r="F215" s="1">
        <v>46327</v>
      </c>
      <c r="G215" s="1">
        <v>46334</v>
      </c>
      <c r="H215" s="1">
        <v>46341</v>
      </c>
      <c r="I215" s="1">
        <v>46348</v>
      </c>
      <c r="J215" s="1">
        <v>46357</v>
      </c>
      <c r="K215" s="1">
        <v>46364</v>
      </c>
      <c r="L215" s="1">
        <v>46371</v>
      </c>
      <c r="M215" s="1">
        <v>46378</v>
      </c>
      <c r="N215" s="1">
        <v>46023</v>
      </c>
      <c r="O215" s="1">
        <v>46030</v>
      </c>
      <c r="P215" s="1">
        <v>46037</v>
      </c>
      <c r="Q215" s="1">
        <v>46044</v>
      </c>
      <c r="R215" s="1">
        <v>46054</v>
      </c>
      <c r="S215" s="1">
        <v>46061</v>
      </c>
      <c r="T215" s="1">
        <v>46068</v>
      </c>
      <c r="U215" s="1">
        <v>46075</v>
      </c>
      <c r="V215" s="1">
        <v>46082</v>
      </c>
      <c r="W215" s="1">
        <v>46089</v>
      </c>
      <c r="X215" s="1">
        <v>46096</v>
      </c>
      <c r="Y215" s="1">
        <v>46103</v>
      </c>
    </row>
    <row r="216" spans="1:27" x14ac:dyDescent="0.3">
      <c r="A216" t="s">
        <v>58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7" x14ac:dyDescent="0.3">
      <c r="A217" t="s">
        <v>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f>SUM(B217:Y217)</f>
        <v>0</v>
      </c>
      <c r="AA217">
        <f>Z217/Z218</f>
        <v>0</v>
      </c>
    </row>
    <row r="218" spans="1:27" x14ac:dyDescent="0.3">
      <c r="A218" t="s">
        <v>2</v>
      </c>
      <c r="B218">
        <v>2482</v>
      </c>
      <c r="C218">
        <v>3090</v>
      </c>
      <c r="D218">
        <v>2510</v>
      </c>
      <c r="E218">
        <v>3473</v>
      </c>
      <c r="F218">
        <v>2827</v>
      </c>
      <c r="G218">
        <v>3098</v>
      </c>
      <c r="H218">
        <v>2877</v>
      </c>
      <c r="I218">
        <v>4655</v>
      </c>
      <c r="J218">
        <v>2863</v>
      </c>
      <c r="K218">
        <v>2933</v>
      </c>
      <c r="L218">
        <v>3263</v>
      </c>
      <c r="M218">
        <v>4991</v>
      </c>
      <c r="N218">
        <v>3174</v>
      </c>
      <c r="O218">
        <v>3147</v>
      </c>
      <c r="P218">
        <v>3189</v>
      </c>
      <c r="Q218">
        <v>4532</v>
      </c>
      <c r="R218">
        <v>3040</v>
      </c>
      <c r="S218">
        <v>4634</v>
      </c>
      <c r="T218">
        <v>9975</v>
      </c>
      <c r="U218">
        <v>4146</v>
      </c>
      <c r="V218">
        <v>2720</v>
      </c>
      <c r="W218">
        <v>2754</v>
      </c>
      <c r="X218">
        <v>2385</v>
      </c>
      <c r="Y218">
        <v>3198</v>
      </c>
      <c r="Z218">
        <f>SUM(B218:Y218)</f>
        <v>85956</v>
      </c>
    </row>
    <row r="219" spans="1:27" x14ac:dyDescent="0.3">
      <c r="A219" t="s">
        <v>0</v>
      </c>
      <c r="B219" t="s">
        <v>52</v>
      </c>
    </row>
    <row r="220" spans="1:27" x14ac:dyDescent="0.3">
      <c r="A220" t="s">
        <v>3</v>
      </c>
      <c r="B220" s="1">
        <v>46296</v>
      </c>
      <c r="C220" s="1">
        <v>46303</v>
      </c>
      <c r="D220" s="1">
        <v>46310</v>
      </c>
      <c r="E220" s="1">
        <v>46317</v>
      </c>
      <c r="F220" s="1">
        <v>46327</v>
      </c>
      <c r="G220" s="1">
        <v>46334</v>
      </c>
      <c r="H220" s="1">
        <v>46341</v>
      </c>
      <c r="I220" s="1">
        <v>46348</v>
      </c>
      <c r="J220" s="1">
        <v>46357</v>
      </c>
      <c r="K220" s="1">
        <v>46364</v>
      </c>
      <c r="L220" s="1">
        <v>46371</v>
      </c>
      <c r="M220" s="1">
        <v>46378</v>
      </c>
      <c r="N220" s="1">
        <v>46023</v>
      </c>
      <c r="O220" s="1">
        <v>46030</v>
      </c>
      <c r="P220" s="1">
        <v>46037</v>
      </c>
      <c r="Q220" s="1">
        <v>46044</v>
      </c>
      <c r="R220" s="1">
        <v>46054</v>
      </c>
      <c r="S220" s="1">
        <v>46061</v>
      </c>
      <c r="T220" s="1">
        <v>46068</v>
      </c>
      <c r="U220" s="1">
        <v>46075</v>
      </c>
      <c r="V220" s="1">
        <v>46082</v>
      </c>
      <c r="W220" s="1">
        <v>46089</v>
      </c>
      <c r="X220" s="1">
        <v>46096</v>
      </c>
      <c r="Y220" s="1">
        <v>46103</v>
      </c>
    </row>
    <row r="221" spans="1:27" x14ac:dyDescent="0.3">
      <c r="A221" t="s">
        <v>58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2.2281639928698701E-3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7" x14ac:dyDescent="0.3">
      <c r="A222" t="s">
        <v>49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f>SUM(B222:Y222)</f>
        <v>1</v>
      </c>
      <c r="AA222">
        <f>Z222/Z223</f>
        <v>1.2492816630437498E-6</v>
      </c>
    </row>
    <row r="223" spans="1:27" x14ac:dyDescent="0.3">
      <c r="A223" t="s">
        <v>2</v>
      </c>
      <c r="B223">
        <v>23724</v>
      </c>
      <c r="C223">
        <v>24840</v>
      </c>
      <c r="D223">
        <v>23787</v>
      </c>
      <c r="E223">
        <v>33313</v>
      </c>
      <c r="F223">
        <v>26014</v>
      </c>
      <c r="G223">
        <v>27010</v>
      </c>
      <c r="H223">
        <v>26342</v>
      </c>
      <c r="I223">
        <v>33122</v>
      </c>
      <c r="J223">
        <v>28197</v>
      </c>
      <c r="K223">
        <v>24862</v>
      </c>
      <c r="L223">
        <v>25701</v>
      </c>
      <c r="M223">
        <v>44880</v>
      </c>
      <c r="N223">
        <v>29047</v>
      </c>
      <c r="O223">
        <v>27683</v>
      </c>
      <c r="P223">
        <v>28662</v>
      </c>
      <c r="Q223">
        <v>47348</v>
      </c>
      <c r="R223">
        <v>30106</v>
      </c>
      <c r="S223">
        <v>47691</v>
      </c>
      <c r="T223">
        <v>88006</v>
      </c>
      <c r="U223">
        <v>37350</v>
      </c>
      <c r="V223">
        <v>31600</v>
      </c>
      <c r="W223">
        <v>29611</v>
      </c>
      <c r="X223">
        <v>25987</v>
      </c>
      <c r="Y223">
        <v>35577</v>
      </c>
      <c r="Z223">
        <f>SUM(B223:Y223)</f>
        <v>800460</v>
      </c>
    </row>
    <row r="224" spans="1:27" x14ac:dyDescent="0.3">
      <c r="A224" t="s">
        <v>0</v>
      </c>
      <c r="B224" t="s">
        <v>51</v>
      </c>
    </row>
    <row r="225" spans="1:27" x14ac:dyDescent="0.3">
      <c r="A225" t="s">
        <v>3</v>
      </c>
      <c r="B225" s="1">
        <v>46296</v>
      </c>
      <c r="C225" s="1">
        <v>46303</v>
      </c>
      <c r="D225" s="1">
        <v>46310</v>
      </c>
      <c r="E225" s="1">
        <v>46317</v>
      </c>
      <c r="F225" s="1">
        <v>46327</v>
      </c>
      <c r="G225" s="1">
        <v>46334</v>
      </c>
      <c r="H225" s="1">
        <v>46341</v>
      </c>
      <c r="I225" s="1">
        <v>46348</v>
      </c>
      <c r="J225" s="1">
        <v>46357</v>
      </c>
      <c r="K225" s="1">
        <v>46364</v>
      </c>
      <c r="L225" s="1">
        <v>46371</v>
      </c>
      <c r="M225" s="1">
        <v>46378</v>
      </c>
      <c r="N225" s="1">
        <v>46023</v>
      </c>
      <c r="O225" s="1">
        <v>46030</v>
      </c>
      <c r="P225" s="1">
        <v>46037</v>
      </c>
      <c r="Q225" s="1">
        <v>46044</v>
      </c>
      <c r="R225" s="1">
        <v>46054</v>
      </c>
      <c r="S225" s="1">
        <v>46061</v>
      </c>
      <c r="T225" s="1">
        <v>46068</v>
      </c>
      <c r="U225" s="1">
        <v>46075</v>
      </c>
      <c r="V225" s="1">
        <v>46082</v>
      </c>
      <c r="W225" s="1">
        <v>46089</v>
      </c>
      <c r="X225" s="1">
        <v>46096</v>
      </c>
      <c r="Y225" s="1">
        <v>46103</v>
      </c>
    </row>
    <row r="226" spans="1:27" x14ac:dyDescent="0.3">
      <c r="A226" t="s">
        <v>58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7" x14ac:dyDescent="0.3">
      <c r="A227" t="s">
        <v>48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f>SUM(B227:Y227)</f>
        <v>0</v>
      </c>
      <c r="AA227">
        <f>Z227/Z228</f>
        <v>0</v>
      </c>
    </row>
    <row r="228" spans="1:27" x14ac:dyDescent="0.3">
      <c r="A228" t="s">
        <v>2</v>
      </c>
      <c r="B228">
        <v>8320</v>
      </c>
      <c r="C228">
        <v>8882</v>
      </c>
      <c r="D228">
        <v>8476</v>
      </c>
      <c r="E228">
        <v>11164</v>
      </c>
      <c r="F228">
        <v>9085</v>
      </c>
      <c r="G228">
        <v>8778</v>
      </c>
      <c r="H228">
        <v>8407</v>
      </c>
      <c r="I228">
        <v>11207</v>
      </c>
      <c r="J228">
        <v>9187</v>
      </c>
      <c r="K228">
        <v>9787</v>
      </c>
      <c r="L228">
        <v>10523</v>
      </c>
      <c r="M228">
        <v>17593</v>
      </c>
      <c r="N228">
        <v>10003</v>
      </c>
      <c r="O228">
        <v>13634</v>
      </c>
      <c r="P228">
        <v>19488</v>
      </c>
      <c r="Q228">
        <v>16254</v>
      </c>
      <c r="R228">
        <v>10527</v>
      </c>
      <c r="S228">
        <v>22054</v>
      </c>
      <c r="T228">
        <v>66971</v>
      </c>
      <c r="U228">
        <v>11303</v>
      </c>
      <c r="V228">
        <v>11145</v>
      </c>
      <c r="W228">
        <v>10659</v>
      </c>
      <c r="X228">
        <v>10046</v>
      </c>
      <c r="Y228">
        <v>12699</v>
      </c>
      <c r="Z228">
        <f>SUM(B228:Y228)</f>
        <v>336192</v>
      </c>
    </row>
    <row r="229" spans="1:27" x14ac:dyDescent="0.3">
      <c r="A229" t="s">
        <v>0</v>
      </c>
      <c r="B229" t="s">
        <v>53</v>
      </c>
    </row>
    <row r="230" spans="1:27" x14ac:dyDescent="0.3">
      <c r="A230" t="s">
        <v>3</v>
      </c>
      <c r="B230" s="1">
        <v>46296</v>
      </c>
      <c r="C230" s="1">
        <v>46303</v>
      </c>
      <c r="D230" s="1">
        <v>46310</v>
      </c>
      <c r="E230" s="1">
        <v>46317</v>
      </c>
      <c r="F230" s="1">
        <v>46327</v>
      </c>
      <c r="G230" s="1">
        <v>46334</v>
      </c>
      <c r="H230" s="1">
        <v>46341</v>
      </c>
      <c r="I230" s="1">
        <v>46348</v>
      </c>
      <c r="J230" s="1">
        <v>46357</v>
      </c>
      <c r="K230" s="1">
        <v>46364</v>
      </c>
      <c r="L230" s="1">
        <v>46371</v>
      </c>
      <c r="M230" s="1">
        <v>46378</v>
      </c>
      <c r="N230" s="1">
        <v>46023</v>
      </c>
      <c r="O230" s="1">
        <v>46030</v>
      </c>
      <c r="P230" s="1">
        <v>46037</v>
      </c>
      <c r="Q230" s="1">
        <v>46044</v>
      </c>
      <c r="R230" s="1">
        <v>46054</v>
      </c>
      <c r="S230" s="1">
        <v>46061</v>
      </c>
      <c r="T230" s="1">
        <v>46068</v>
      </c>
      <c r="U230" s="1">
        <v>46075</v>
      </c>
      <c r="V230" s="1">
        <v>46082</v>
      </c>
      <c r="W230" s="1">
        <v>46089</v>
      </c>
      <c r="X230" s="1">
        <v>46096</v>
      </c>
      <c r="Y230" s="1">
        <v>46103</v>
      </c>
    </row>
    <row r="231" spans="1:27" x14ac:dyDescent="0.3">
      <c r="A231" t="s">
        <v>58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7" x14ac:dyDescent="0.3">
      <c r="A232" t="s">
        <v>48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f>SUM(B232:Y232)</f>
        <v>0</v>
      </c>
      <c r="AA232">
        <f>Z232/Z233</f>
        <v>0</v>
      </c>
    </row>
    <row r="233" spans="1:27" x14ac:dyDescent="0.3">
      <c r="A233" t="s">
        <v>2</v>
      </c>
      <c r="B233">
        <v>976</v>
      </c>
      <c r="C233">
        <v>1283</v>
      </c>
      <c r="D233">
        <v>1251</v>
      </c>
      <c r="E233">
        <v>1816</v>
      </c>
      <c r="F233">
        <v>1273</v>
      </c>
      <c r="G233">
        <v>1252</v>
      </c>
      <c r="H233">
        <v>1222</v>
      </c>
      <c r="I233">
        <v>1503</v>
      </c>
      <c r="J233">
        <v>1063</v>
      </c>
      <c r="K233">
        <v>1209</v>
      </c>
      <c r="L233">
        <v>1230</v>
      </c>
      <c r="M233">
        <v>2273</v>
      </c>
      <c r="N233">
        <v>1202</v>
      </c>
      <c r="O233">
        <v>1059</v>
      </c>
      <c r="P233">
        <v>1033</v>
      </c>
      <c r="Q233">
        <v>1890</v>
      </c>
      <c r="R233">
        <v>1056</v>
      </c>
      <c r="S233">
        <v>1651</v>
      </c>
      <c r="T233">
        <v>3782</v>
      </c>
      <c r="U233">
        <v>1405</v>
      </c>
      <c r="V233">
        <v>1252</v>
      </c>
      <c r="W233">
        <v>1328</v>
      </c>
      <c r="X233">
        <v>1100</v>
      </c>
      <c r="Y233">
        <v>1872</v>
      </c>
      <c r="Z233">
        <f>SUM(B233:Y233)</f>
        <v>34981</v>
      </c>
    </row>
    <row r="234" spans="1:27" x14ac:dyDescent="0.3">
      <c r="A234" t="s">
        <v>0</v>
      </c>
      <c r="B234" t="s">
        <v>43</v>
      </c>
    </row>
    <row r="235" spans="1:27" x14ac:dyDescent="0.3">
      <c r="A235" t="s">
        <v>3</v>
      </c>
      <c r="B235" s="1">
        <v>46296</v>
      </c>
      <c r="C235" s="1">
        <v>46303</v>
      </c>
      <c r="D235" s="1">
        <v>46310</v>
      </c>
      <c r="E235" s="1">
        <v>46317</v>
      </c>
      <c r="F235" s="1">
        <v>46327</v>
      </c>
      <c r="G235" s="1">
        <v>46334</v>
      </c>
      <c r="H235" s="1">
        <v>46341</v>
      </c>
      <c r="I235" s="1">
        <v>46348</v>
      </c>
      <c r="J235" s="1">
        <v>46357</v>
      </c>
      <c r="K235" s="1">
        <v>46364</v>
      </c>
      <c r="L235" s="1">
        <v>46371</v>
      </c>
      <c r="M235" s="1">
        <v>46378</v>
      </c>
      <c r="N235" s="1">
        <v>46023</v>
      </c>
      <c r="O235" s="1">
        <v>46030</v>
      </c>
      <c r="P235" s="1">
        <v>46037</v>
      </c>
      <c r="Q235" s="1">
        <v>46044</v>
      </c>
      <c r="R235" s="1">
        <v>46054</v>
      </c>
      <c r="S235" s="1">
        <v>46061</v>
      </c>
      <c r="T235" s="1">
        <v>46068</v>
      </c>
      <c r="U235" s="1">
        <v>46075</v>
      </c>
      <c r="V235" s="1">
        <v>46082</v>
      </c>
      <c r="W235" s="1">
        <v>46089</v>
      </c>
      <c r="X235" s="1">
        <v>46096</v>
      </c>
      <c r="Y235" s="1">
        <v>46103</v>
      </c>
    </row>
    <row r="236" spans="1:27" x14ac:dyDescent="0.3">
      <c r="A236" t="s">
        <v>58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0.348432055749128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7" x14ac:dyDescent="0.3">
      <c r="A237" t="s">
        <v>49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f>SUM(B237:Y237)</f>
        <v>1</v>
      </c>
      <c r="AA237">
        <f>Z237/Z238</f>
        <v>1.6385384237260363E-4</v>
      </c>
    </row>
    <row r="238" spans="1:27" x14ac:dyDescent="0.3">
      <c r="A238" t="s">
        <v>2</v>
      </c>
      <c r="B238">
        <v>124</v>
      </c>
      <c r="C238">
        <v>124</v>
      </c>
      <c r="D238">
        <v>141</v>
      </c>
      <c r="E238">
        <v>197</v>
      </c>
      <c r="F238">
        <v>167</v>
      </c>
      <c r="G238">
        <v>204</v>
      </c>
      <c r="H238">
        <v>235</v>
      </c>
      <c r="I238">
        <v>365</v>
      </c>
      <c r="J238">
        <v>269</v>
      </c>
      <c r="K238">
        <v>293</v>
      </c>
      <c r="L238">
        <v>215</v>
      </c>
      <c r="M238">
        <v>367</v>
      </c>
      <c r="N238">
        <v>249</v>
      </c>
      <c r="O238">
        <v>257</v>
      </c>
      <c r="P238">
        <v>277</v>
      </c>
      <c r="Q238">
        <v>584</v>
      </c>
      <c r="R238">
        <v>375</v>
      </c>
      <c r="S238">
        <v>286</v>
      </c>
      <c r="T238">
        <v>287</v>
      </c>
      <c r="U238">
        <v>262</v>
      </c>
      <c r="V238">
        <v>211</v>
      </c>
      <c r="W238">
        <v>184</v>
      </c>
      <c r="X238">
        <v>196</v>
      </c>
      <c r="Y238">
        <v>234</v>
      </c>
      <c r="Z238">
        <f>SUM(B238:Y238)</f>
        <v>6103</v>
      </c>
    </row>
    <row r="239" spans="1:27" x14ac:dyDescent="0.3">
      <c r="A239" t="s">
        <v>0</v>
      </c>
      <c r="B239" t="s">
        <v>44</v>
      </c>
    </row>
    <row r="240" spans="1:27" x14ac:dyDescent="0.3">
      <c r="A240" t="s">
        <v>3</v>
      </c>
      <c r="B240" s="1">
        <v>46296</v>
      </c>
      <c r="C240" s="1">
        <v>46303</v>
      </c>
      <c r="D240" s="1">
        <v>46310</v>
      </c>
      <c r="E240" s="1">
        <v>46317</v>
      </c>
      <c r="F240" s="1">
        <v>46327</v>
      </c>
      <c r="G240" s="1">
        <v>46334</v>
      </c>
      <c r="H240" s="1">
        <v>46341</v>
      </c>
      <c r="I240" s="1">
        <v>46348</v>
      </c>
      <c r="J240" s="1">
        <v>46357</v>
      </c>
      <c r="K240" s="1">
        <v>46364</v>
      </c>
      <c r="L240" s="1">
        <v>46371</v>
      </c>
      <c r="M240" s="1">
        <v>46378</v>
      </c>
      <c r="N240" s="1">
        <v>46023</v>
      </c>
      <c r="O240" s="1">
        <v>46030</v>
      </c>
      <c r="P240" s="1">
        <v>46037</v>
      </c>
      <c r="Q240" s="1">
        <v>46044</v>
      </c>
      <c r="R240" s="1">
        <v>46054</v>
      </c>
      <c r="S240" s="1">
        <v>46061</v>
      </c>
      <c r="T240" s="1">
        <v>46068</v>
      </c>
      <c r="U240" s="1">
        <v>46075</v>
      </c>
      <c r="V240" s="1">
        <v>46082</v>
      </c>
      <c r="W240" s="1">
        <v>46089</v>
      </c>
      <c r="X240" s="1">
        <v>46096</v>
      </c>
      <c r="Y240" s="1">
        <v>46103</v>
      </c>
    </row>
    <row r="241" spans="1:27" x14ac:dyDescent="0.3">
      <c r="A241" t="s">
        <v>58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7" x14ac:dyDescent="0.3">
      <c r="A242" t="s">
        <v>48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f>SUM(B242:Y242)</f>
        <v>0</v>
      </c>
      <c r="AA242">
        <f>Z242/Z243</f>
        <v>0</v>
      </c>
    </row>
    <row r="243" spans="1:27" x14ac:dyDescent="0.3">
      <c r="A243" t="s">
        <v>2</v>
      </c>
      <c r="B243">
        <v>170</v>
      </c>
      <c r="C243">
        <v>256</v>
      </c>
      <c r="D243">
        <v>158</v>
      </c>
      <c r="E243">
        <v>326</v>
      </c>
      <c r="F243">
        <v>178</v>
      </c>
      <c r="G243">
        <v>176</v>
      </c>
      <c r="H243">
        <v>211</v>
      </c>
      <c r="I243">
        <v>335</v>
      </c>
      <c r="J243">
        <v>295</v>
      </c>
      <c r="K243">
        <v>258</v>
      </c>
      <c r="L243">
        <v>219</v>
      </c>
      <c r="M243">
        <v>346</v>
      </c>
      <c r="N243">
        <v>253</v>
      </c>
      <c r="O243">
        <v>207</v>
      </c>
      <c r="P243">
        <v>217</v>
      </c>
      <c r="Q243">
        <v>350</v>
      </c>
      <c r="R243">
        <v>246</v>
      </c>
      <c r="S243">
        <v>319</v>
      </c>
      <c r="T243">
        <v>256</v>
      </c>
      <c r="U243">
        <v>258</v>
      </c>
      <c r="V243">
        <v>203</v>
      </c>
      <c r="W243">
        <v>246</v>
      </c>
      <c r="X243">
        <v>236</v>
      </c>
      <c r="Y243">
        <v>356</v>
      </c>
      <c r="Z243">
        <f>SUM(B243:Y243)</f>
        <v>6075</v>
      </c>
    </row>
    <row r="244" spans="1:27" x14ac:dyDescent="0.3">
      <c r="A244" t="s">
        <v>0</v>
      </c>
      <c r="B244" t="s">
        <v>45</v>
      </c>
    </row>
    <row r="245" spans="1:27" x14ac:dyDescent="0.3">
      <c r="A245" t="s">
        <v>3</v>
      </c>
      <c r="B245" s="1">
        <v>46296</v>
      </c>
      <c r="C245" s="1">
        <v>46303</v>
      </c>
      <c r="D245" s="1">
        <v>46310</v>
      </c>
      <c r="E245" s="1">
        <v>46317</v>
      </c>
      <c r="F245" s="1">
        <v>46327</v>
      </c>
      <c r="G245" s="1">
        <v>46334</v>
      </c>
      <c r="H245" s="1">
        <v>46341</v>
      </c>
      <c r="I245" s="1">
        <v>46348</v>
      </c>
      <c r="J245" s="1">
        <v>46357</v>
      </c>
      <c r="K245" s="1">
        <v>46364</v>
      </c>
      <c r="L245" s="1">
        <v>46371</v>
      </c>
      <c r="M245" s="1">
        <v>46378</v>
      </c>
      <c r="N245" s="1">
        <v>46023</v>
      </c>
      <c r="O245" s="1">
        <v>46030</v>
      </c>
      <c r="P245" s="1">
        <v>46037</v>
      </c>
      <c r="Q245" s="1">
        <v>46044</v>
      </c>
      <c r="R245" s="1">
        <v>46054</v>
      </c>
      <c r="S245" s="1">
        <v>46061</v>
      </c>
      <c r="T245" s="1">
        <v>46068</v>
      </c>
      <c r="U245" s="1">
        <v>46075</v>
      </c>
      <c r="V245" s="1">
        <v>46082</v>
      </c>
      <c r="W245" s="1">
        <v>46089</v>
      </c>
      <c r="X245" s="1">
        <v>46096</v>
      </c>
      <c r="Y245" s="1">
        <v>46103</v>
      </c>
    </row>
    <row r="246" spans="1:27" x14ac:dyDescent="0.3">
      <c r="A246" t="s">
        <v>58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9.5785440999999999E-2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7" x14ac:dyDescent="0.3">
      <c r="A247" t="s">
        <v>48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f>SUM(B247:Y247)</f>
        <v>1</v>
      </c>
      <c r="AA247">
        <f>Z247/Z248</f>
        <v>3.9715636045911274E-5</v>
      </c>
    </row>
    <row r="248" spans="1:27" x14ac:dyDescent="0.3">
      <c r="A248" t="s">
        <v>2</v>
      </c>
      <c r="B248">
        <v>409</v>
      </c>
      <c r="C248">
        <v>493</v>
      </c>
      <c r="D248">
        <v>581</v>
      </c>
      <c r="E248">
        <v>732</v>
      </c>
      <c r="F248">
        <v>683</v>
      </c>
      <c r="G248">
        <v>879</v>
      </c>
      <c r="H248">
        <v>956</v>
      </c>
      <c r="I248">
        <v>1139</v>
      </c>
      <c r="J248">
        <v>909</v>
      </c>
      <c r="K248">
        <v>1044</v>
      </c>
      <c r="L248">
        <v>1044</v>
      </c>
      <c r="M248">
        <v>1866</v>
      </c>
      <c r="N248">
        <v>777</v>
      </c>
      <c r="O248">
        <v>1007</v>
      </c>
      <c r="P248">
        <v>1146</v>
      </c>
      <c r="Q248">
        <v>1584</v>
      </c>
      <c r="R248">
        <v>1128</v>
      </c>
      <c r="S248">
        <v>1049</v>
      </c>
      <c r="T248">
        <v>1004</v>
      </c>
      <c r="U248">
        <v>1096</v>
      </c>
      <c r="V248">
        <v>1172</v>
      </c>
      <c r="W248">
        <v>1453</v>
      </c>
      <c r="X248">
        <v>1346</v>
      </c>
      <c r="Y248">
        <v>1682</v>
      </c>
      <c r="Z248">
        <f>SUM(B248:Y248)</f>
        <v>25179</v>
      </c>
    </row>
    <row r="249" spans="1:27" x14ac:dyDescent="0.3">
      <c r="A249" t="s">
        <v>0</v>
      </c>
      <c r="B249" t="s">
        <v>46</v>
      </c>
    </row>
    <row r="250" spans="1:27" x14ac:dyDescent="0.3">
      <c r="A250" t="s">
        <v>3</v>
      </c>
      <c r="B250" s="1">
        <v>46296</v>
      </c>
      <c r="C250" s="1">
        <v>46303</v>
      </c>
      <c r="D250" s="1">
        <v>46310</v>
      </c>
      <c r="E250" s="1">
        <v>46317</v>
      </c>
      <c r="F250" s="1">
        <v>46327</v>
      </c>
      <c r="G250" s="1">
        <v>46334</v>
      </c>
      <c r="H250" s="1">
        <v>46341</v>
      </c>
      <c r="I250" s="1">
        <v>46348</v>
      </c>
      <c r="J250" s="1">
        <v>46357</v>
      </c>
      <c r="K250" s="1">
        <v>46364</v>
      </c>
      <c r="L250" s="1">
        <v>46371</v>
      </c>
      <c r="M250" s="1">
        <v>46378</v>
      </c>
      <c r="N250" s="1">
        <v>46023</v>
      </c>
      <c r="O250" s="1">
        <v>46030</v>
      </c>
      <c r="P250" s="1">
        <v>46037</v>
      </c>
      <c r="Q250" s="1">
        <v>46044</v>
      </c>
      <c r="R250" s="1">
        <v>46054</v>
      </c>
      <c r="S250" s="1">
        <v>46061</v>
      </c>
      <c r="T250" s="1">
        <v>46068</v>
      </c>
      <c r="U250" s="1">
        <v>46075</v>
      </c>
      <c r="V250" s="1">
        <v>46082</v>
      </c>
      <c r="W250" s="1">
        <v>46089</v>
      </c>
      <c r="X250" s="1">
        <v>46096</v>
      </c>
      <c r="Y250" s="1">
        <v>46103</v>
      </c>
    </row>
    <row r="251" spans="1:27" x14ac:dyDescent="0.3">
      <c r="A251" t="s">
        <v>58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7" x14ac:dyDescent="0.3">
      <c r="A252" t="s">
        <v>49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f>SUM(B252:Y252)</f>
        <v>3</v>
      </c>
      <c r="AA252">
        <f>Z252/Z253</f>
        <v>1.905717788605078E-5</v>
      </c>
    </row>
    <row r="253" spans="1:27" x14ac:dyDescent="0.3">
      <c r="A253" t="s">
        <v>2</v>
      </c>
      <c r="B253">
        <v>3460</v>
      </c>
      <c r="C253">
        <v>4439</v>
      </c>
      <c r="D253">
        <v>3847</v>
      </c>
      <c r="E253">
        <v>6688</v>
      </c>
      <c r="F253">
        <v>4738</v>
      </c>
      <c r="G253">
        <v>4930</v>
      </c>
      <c r="H253">
        <v>5545</v>
      </c>
      <c r="I253">
        <v>6807</v>
      </c>
      <c r="J253">
        <v>6111</v>
      </c>
      <c r="K253">
        <v>6315</v>
      </c>
      <c r="L253">
        <v>5951</v>
      </c>
      <c r="M253">
        <v>9748</v>
      </c>
      <c r="N253">
        <v>6410</v>
      </c>
      <c r="O253">
        <v>6552</v>
      </c>
      <c r="P253">
        <v>7305</v>
      </c>
      <c r="Q253">
        <v>10898</v>
      </c>
      <c r="R253">
        <v>7217</v>
      </c>
      <c r="S253">
        <v>7725</v>
      </c>
      <c r="T253">
        <v>7985</v>
      </c>
      <c r="U253">
        <v>8253</v>
      </c>
      <c r="V253">
        <v>7367</v>
      </c>
      <c r="W253">
        <v>6294</v>
      </c>
      <c r="X253">
        <v>5873</v>
      </c>
      <c r="Y253">
        <v>6963</v>
      </c>
      <c r="Z253">
        <f>SUM(B253:Y253)</f>
        <v>157421</v>
      </c>
    </row>
    <row r="254" spans="1:27" x14ac:dyDescent="0.3">
      <c r="A254" t="s">
        <v>0</v>
      </c>
      <c r="B254" t="s">
        <v>47</v>
      </c>
    </row>
    <row r="255" spans="1:27" x14ac:dyDescent="0.3">
      <c r="A255" t="s">
        <v>3</v>
      </c>
      <c r="B255" s="1">
        <v>46296</v>
      </c>
      <c r="C255" s="1">
        <v>46303</v>
      </c>
      <c r="D255" s="1">
        <v>46310</v>
      </c>
      <c r="E255" s="1">
        <v>46317</v>
      </c>
      <c r="F255" s="1">
        <v>46327</v>
      </c>
      <c r="G255" s="1">
        <v>46334</v>
      </c>
      <c r="H255" s="1">
        <v>46341</v>
      </c>
      <c r="I255" s="1">
        <v>46348</v>
      </c>
      <c r="J255" s="1">
        <v>46357</v>
      </c>
      <c r="K255" s="1">
        <v>46364</v>
      </c>
      <c r="L255" s="1">
        <v>46371</v>
      </c>
      <c r="M255" s="1">
        <v>46378</v>
      </c>
      <c r="N255" s="1">
        <v>46023</v>
      </c>
      <c r="O255" s="1">
        <v>46030</v>
      </c>
      <c r="P255" s="1">
        <v>46037</v>
      </c>
      <c r="Q255" s="1">
        <v>46044</v>
      </c>
      <c r="R255" s="1">
        <v>46054</v>
      </c>
      <c r="S255" s="1">
        <v>46061</v>
      </c>
      <c r="T255" s="1">
        <v>46068</v>
      </c>
      <c r="U255" s="1">
        <v>46075</v>
      </c>
      <c r="V255" s="1">
        <v>46082</v>
      </c>
      <c r="W255" s="1">
        <v>46089</v>
      </c>
      <c r="X255" s="1">
        <v>46096</v>
      </c>
      <c r="Y255" s="1">
        <v>46103</v>
      </c>
    </row>
    <row r="256" spans="1:27" x14ac:dyDescent="0.3">
      <c r="A256" t="s">
        <v>58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0.12594458438287101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7" x14ac:dyDescent="0.3">
      <c r="A257" t="s">
        <v>49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f>SUM(B257:Y257)</f>
        <v>1</v>
      </c>
      <c r="AA257">
        <f>Z257/Z258</f>
        <v>3.9777247414478921E-5</v>
      </c>
    </row>
    <row r="258" spans="1:27" x14ac:dyDescent="0.3">
      <c r="A258" t="s">
        <v>2</v>
      </c>
      <c r="B258">
        <v>503</v>
      </c>
      <c r="C258">
        <v>636</v>
      </c>
      <c r="D258">
        <v>637</v>
      </c>
      <c r="E258">
        <v>1130</v>
      </c>
      <c r="F258">
        <v>784</v>
      </c>
      <c r="G258">
        <v>715</v>
      </c>
      <c r="H258">
        <v>787</v>
      </c>
      <c r="I258">
        <v>1112</v>
      </c>
      <c r="J258">
        <v>977</v>
      </c>
      <c r="K258">
        <v>879</v>
      </c>
      <c r="L258">
        <v>882</v>
      </c>
      <c r="M258">
        <v>1496</v>
      </c>
      <c r="N258">
        <v>924</v>
      </c>
      <c r="O258">
        <v>794</v>
      </c>
      <c r="P258">
        <v>1060</v>
      </c>
      <c r="Q258">
        <v>1904</v>
      </c>
      <c r="R258">
        <v>1344</v>
      </c>
      <c r="S258">
        <v>1298</v>
      </c>
      <c r="T258">
        <v>1421</v>
      </c>
      <c r="U258">
        <v>1332</v>
      </c>
      <c r="V258">
        <v>1222</v>
      </c>
      <c r="W258">
        <v>1130</v>
      </c>
      <c r="X258">
        <v>915</v>
      </c>
      <c r="Y258">
        <v>1258</v>
      </c>
      <c r="Z258">
        <f>SUM(B258:Y258)</f>
        <v>25140</v>
      </c>
    </row>
    <row r="259" spans="1:27" x14ac:dyDescent="0.3">
      <c r="A259" t="s">
        <v>0</v>
      </c>
      <c r="B259" t="s">
        <v>54</v>
      </c>
    </row>
    <row r="260" spans="1:27" x14ac:dyDescent="0.3">
      <c r="A260" t="s">
        <v>3</v>
      </c>
      <c r="B260" s="1">
        <v>46296</v>
      </c>
      <c r="C260" s="1">
        <v>46303</v>
      </c>
      <c r="D260" s="1">
        <v>46310</v>
      </c>
      <c r="E260" s="1">
        <v>46317</v>
      </c>
      <c r="F260" s="1">
        <v>46327</v>
      </c>
      <c r="G260" s="1">
        <v>46334</v>
      </c>
      <c r="H260" s="1">
        <v>46341</v>
      </c>
      <c r="I260" s="1">
        <v>46348</v>
      </c>
      <c r="J260" s="1">
        <v>46357</v>
      </c>
      <c r="K260" s="1">
        <v>46364</v>
      </c>
      <c r="L260" s="1">
        <v>46371</v>
      </c>
      <c r="M260" s="1">
        <v>46378</v>
      </c>
      <c r="N260" s="1">
        <v>46023</v>
      </c>
      <c r="O260" s="1">
        <v>46030</v>
      </c>
      <c r="P260" s="1">
        <v>46037</v>
      </c>
      <c r="Q260" s="1">
        <v>46044</v>
      </c>
      <c r="R260" s="1">
        <v>46054</v>
      </c>
      <c r="S260" s="1">
        <v>46061</v>
      </c>
      <c r="T260" s="1">
        <v>46068</v>
      </c>
      <c r="U260" s="1">
        <v>46075</v>
      </c>
      <c r="V260" s="1">
        <v>46082</v>
      </c>
      <c r="W260" s="1">
        <v>46089</v>
      </c>
      <c r="X260" s="1">
        <v>46096</v>
      </c>
      <c r="Y260" s="1">
        <v>46103</v>
      </c>
    </row>
    <row r="261" spans="1:27" x14ac:dyDescent="0.3">
      <c r="A261" t="s">
        <v>58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7" x14ac:dyDescent="0.3">
      <c r="A262" t="s">
        <v>48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f>SUM(B262:Y262)</f>
        <v>0</v>
      </c>
      <c r="AA262">
        <f>Z262/Z263</f>
        <v>0</v>
      </c>
    </row>
    <row r="263" spans="1:27" x14ac:dyDescent="0.3">
      <c r="A263" t="s">
        <v>2</v>
      </c>
      <c r="B263">
        <v>2529</v>
      </c>
      <c r="C263">
        <v>2768</v>
      </c>
      <c r="D263">
        <v>2559</v>
      </c>
      <c r="E263">
        <v>3539</v>
      </c>
      <c r="F263">
        <v>1984</v>
      </c>
      <c r="G263">
        <v>1896</v>
      </c>
      <c r="H263">
        <v>1892</v>
      </c>
      <c r="I263">
        <v>2216</v>
      </c>
      <c r="J263">
        <v>1697</v>
      </c>
      <c r="K263">
        <v>1962</v>
      </c>
      <c r="L263">
        <v>1640</v>
      </c>
      <c r="M263">
        <v>2770</v>
      </c>
      <c r="N263">
        <v>2077</v>
      </c>
      <c r="O263">
        <v>1848</v>
      </c>
      <c r="P263">
        <v>1724</v>
      </c>
      <c r="Q263">
        <v>2560</v>
      </c>
      <c r="R263">
        <v>1926</v>
      </c>
      <c r="S263">
        <v>2108</v>
      </c>
      <c r="T263">
        <v>2368</v>
      </c>
      <c r="U263">
        <v>2659</v>
      </c>
      <c r="V263">
        <v>2798</v>
      </c>
      <c r="W263">
        <v>2998</v>
      </c>
      <c r="X263">
        <v>2867</v>
      </c>
      <c r="Y263">
        <v>3501</v>
      </c>
      <c r="Z263">
        <f>SUM(B263:Y263)</f>
        <v>56886</v>
      </c>
    </row>
    <row r="264" spans="1:27" x14ac:dyDescent="0.3">
      <c r="A264" t="s">
        <v>0</v>
      </c>
      <c r="B264" t="s">
        <v>55</v>
      </c>
    </row>
    <row r="265" spans="1:27" x14ac:dyDescent="0.3">
      <c r="A265" t="s">
        <v>3</v>
      </c>
      <c r="B265" s="1">
        <v>46296</v>
      </c>
      <c r="C265" s="1">
        <v>46303</v>
      </c>
      <c r="D265" s="1">
        <v>46310</v>
      </c>
      <c r="E265" s="1">
        <v>46317</v>
      </c>
      <c r="F265" s="1">
        <v>46327</v>
      </c>
      <c r="G265" s="1">
        <v>46334</v>
      </c>
      <c r="H265" s="1">
        <v>46341</v>
      </c>
      <c r="I265" s="1">
        <v>46348</v>
      </c>
      <c r="J265" s="1">
        <v>46357</v>
      </c>
      <c r="K265" s="1">
        <v>46364</v>
      </c>
      <c r="L265" s="1">
        <v>46371</v>
      </c>
      <c r="M265" s="1">
        <v>46378</v>
      </c>
      <c r="N265" s="1">
        <v>46023</v>
      </c>
      <c r="O265" s="1">
        <v>46030</v>
      </c>
      <c r="P265" s="1">
        <v>46037</v>
      </c>
      <c r="Q265" s="1">
        <v>46044</v>
      </c>
      <c r="R265" s="1">
        <v>46054</v>
      </c>
      <c r="S265" s="1">
        <v>46061</v>
      </c>
      <c r="T265" s="1">
        <v>46068</v>
      </c>
      <c r="U265" s="1">
        <v>46075</v>
      </c>
      <c r="V265" s="1">
        <v>46082</v>
      </c>
      <c r="W265" s="1">
        <v>46089</v>
      </c>
      <c r="X265" s="1">
        <v>46096</v>
      </c>
      <c r="Y265" s="1">
        <v>46103</v>
      </c>
    </row>
    <row r="266" spans="1:27" x14ac:dyDescent="0.3">
      <c r="A266" t="s">
        <v>58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7" x14ac:dyDescent="0.3">
      <c r="A267" t="s">
        <v>48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f>SUM(B267:Y267)</f>
        <v>0</v>
      </c>
      <c r="AA267">
        <f>Z267/Z268</f>
        <v>0</v>
      </c>
    </row>
    <row r="268" spans="1:27" x14ac:dyDescent="0.3">
      <c r="A268" t="s">
        <v>2</v>
      </c>
      <c r="B268">
        <v>1</v>
      </c>
      <c r="C268">
        <v>5</v>
      </c>
      <c r="D268">
        <v>9</v>
      </c>
      <c r="E268">
        <v>16</v>
      </c>
      <c r="F268">
        <v>10</v>
      </c>
      <c r="G268">
        <v>12</v>
      </c>
      <c r="H268">
        <v>5</v>
      </c>
      <c r="I268">
        <v>1</v>
      </c>
      <c r="J268">
        <v>4</v>
      </c>
      <c r="K268">
        <v>3</v>
      </c>
      <c r="L268">
        <v>2</v>
      </c>
      <c r="M268">
        <v>1</v>
      </c>
      <c r="N268">
        <v>5</v>
      </c>
      <c r="O268">
        <v>24</v>
      </c>
      <c r="P268">
        <v>18</v>
      </c>
      <c r="Q268">
        <v>18</v>
      </c>
      <c r="R268">
        <v>7</v>
      </c>
      <c r="S268">
        <v>9</v>
      </c>
      <c r="T268">
        <v>3</v>
      </c>
      <c r="U268">
        <v>1</v>
      </c>
      <c r="V268">
        <v>2</v>
      </c>
      <c r="W268">
        <v>6</v>
      </c>
      <c r="X268">
        <v>15</v>
      </c>
      <c r="Y268">
        <v>16</v>
      </c>
      <c r="Z268">
        <f>SUM(B268:Y268)</f>
        <v>193</v>
      </c>
    </row>
    <row r="269" spans="1:27" x14ac:dyDescent="0.3">
      <c r="A269" t="s">
        <v>0</v>
      </c>
      <c r="B269" t="s">
        <v>56</v>
      </c>
    </row>
    <row r="270" spans="1:27" x14ac:dyDescent="0.3">
      <c r="A270" t="s">
        <v>3</v>
      </c>
      <c r="B270" s="1">
        <v>46296</v>
      </c>
      <c r="C270" s="1">
        <v>46303</v>
      </c>
      <c r="D270" s="1">
        <v>46310</v>
      </c>
      <c r="E270" s="1">
        <v>46317</v>
      </c>
      <c r="F270" s="1">
        <v>46327</v>
      </c>
      <c r="G270" s="1">
        <v>46334</v>
      </c>
      <c r="H270" s="1">
        <v>46341</v>
      </c>
      <c r="I270" s="1">
        <v>46348</v>
      </c>
      <c r="J270" s="1">
        <v>46357</v>
      </c>
      <c r="K270" s="1">
        <v>46364</v>
      </c>
      <c r="L270" s="1">
        <v>46371</v>
      </c>
      <c r="M270" s="1">
        <v>46378</v>
      </c>
      <c r="N270" s="1">
        <v>46023</v>
      </c>
      <c r="O270" s="1">
        <v>46030</v>
      </c>
      <c r="P270" s="1">
        <v>46037</v>
      </c>
      <c r="Q270" s="1">
        <v>46044</v>
      </c>
      <c r="R270" s="1">
        <v>46054</v>
      </c>
      <c r="S270" s="1">
        <v>46061</v>
      </c>
      <c r="T270" s="1">
        <v>46068</v>
      </c>
      <c r="U270" s="1">
        <v>46075</v>
      </c>
      <c r="V270" s="1">
        <v>46082</v>
      </c>
      <c r="W270" s="1">
        <v>46089</v>
      </c>
      <c r="X270" s="1">
        <v>46096</v>
      </c>
      <c r="Y270" s="1">
        <v>46103</v>
      </c>
    </row>
    <row r="271" spans="1:27" x14ac:dyDescent="0.3">
      <c r="A271" t="s">
        <v>58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3.8520801232665602E-2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7" x14ac:dyDescent="0.3">
      <c r="A272" t="s">
        <v>49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f>SUM(B272:Y272)</f>
        <v>1</v>
      </c>
      <c r="AA272">
        <f>Z272/Z273</f>
        <v>2.0560901389916934E-5</v>
      </c>
    </row>
    <row r="273" spans="1:27" x14ac:dyDescent="0.3">
      <c r="A273" t="s">
        <v>2</v>
      </c>
      <c r="B273">
        <v>1178</v>
      </c>
      <c r="C273">
        <v>1611</v>
      </c>
      <c r="D273">
        <v>1655</v>
      </c>
      <c r="E273">
        <v>2342</v>
      </c>
      <c r="F273">
        <v>1988</v>
      </c>
      <c r="G273">
        <v>1912</v>
      </c>
      <c r="H273">
        <v>1824</v>
      </c>
      <c r="I273">
        <v>2596</v>
      </c>
      <c r="J273">
        <v>1522</v>
      </c>
      <c r="K273">
        <v>1635</v>
      </c>
      <c r="L273">
        <v>1542</v>
      </c>
      <c r="M273">
        <v>2610</v>
      </c>
      <c r="N273">
        <v>1507</v>
      </c>
      <c r="O273">
        <v>1658</v>
      </c>
      <c r="P273">
        <v>1908</v>
      </c>
      <c r="Q273">
        <v>2800</v>
      </c>
      <c r="R273">
        <v>2013</v>
      </c>
      <c r="S273">
        <v>2203</v>
      </c>
      <c r="T273">
        <v>2330</v>
      </c>
      <c r="U273">
        <v>2212</v>
      </c>
      <c r="V273">
        <v>2094</v>
      </c>
      <c r="W273">
        <v>2202</v>
      </c>
      <c r="X273">
        <v>2099</v>
      </c>
      <c r="Y273">
        <v>3195</v>
      </c>
      <c r="Z273">
        <f>SUM(B273:Y273)</f>
        <v>48636</v>
      </c>
    </row>
    <row r="274" spans="1:27" x14ac:dyDescent="0.3">
      <c r="A274" t="s">
        <v>0</v>
      </c>
      <c r="B274" t="s">
        <v>57</v>
      </c>
    </row>
    <row r="275" spans="1:27" x14ac:dyDescent="0.3">
      <c r="A275" t="s">
        <v>3</v>
      </c>
      <c r="B275" s="1">
        <v>46296</v>
      </c>
      <c r="C275" s="1">
        <v>46303</v>
      </c>
      <c r="D275" s="1">
        <v>46310</v>
      </c>
      <c r="E275" s="1">
        <v>46317</v>
      </c>
      <c r="F275" s="1">
        <v>46327</v>
      </c>
      <c r="G275" s="1">
        <v>46334</v>
      </c>
      <c r="H275" s="1">
        <v>46341</v>
      </c>
      <c r="I275" s="1">
        <v>46348</v>
      </c>
      <c r="J275" s="1">
        <v>46357</v>
      </c>
      <c r="K275" s="1">
        <v>46364</v>
      </c>
      <c r="L275" s="1">
        <v>46371</v>
      </c>
      <c r="M275" s="1">
        <v>46378</v>
      </c>
      <c r="N275" s="1">
        <v>46023</v>
      </c>
      <c r="O275" s="1">
        <v>46030</v>
      </c>
      <c r="P275" s="1">
        <v>46037</v>
      </c>
      <c r="Q275" s="1">
        <v>46044</v>
      </c>
      <c r="R275" s="1">
        <v>46054</v>
      </c>
      <c r="S275" s="1">
        <v>46061</v>
      </c>
      <c r="T275" s="1">
        <v>46068</v>
      </c>
      <c r="U275" s="1">
        <v>46075</v>
      </c>
      <c r="V275" s="1">
        <v>46082</v>
      </c>
      <c r="W275" s="1">
        <v>46089</v>
      </c>
      <c r="X275" s="1">
        <v>46096</v>
      </c>
      <c r="Y275" s="1">
        <v>46103</v>
      </c>
    </row>
    <row r="276" spans="1:27" x14ac:dyDescent="0.3">
      <c r="A276" t="s">
        <v>58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7" x14ac:dyDescent="0.3">
      <c r="A277" t="s">
        <v>48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f>SUM(B277:Y277)</f>
        <v>0</v>
      </c>
      <c r="AA277">
        <f>Z277/Z278</f>
        <v>0</v>
      </c>
    </row>
    <row r="278" spans="1:27" x14ac:dyDescent="0.3">
      <c r="A278" t="s">
        <v>2</v>
      </c>
      <c r="B278">
        <v>36</v>
      </c>
      <c r="C278">
        <v>39</v>
      </c>
      <c r="D278">
        <v>17</v>
      </c>
      <c r="E278">
        <v>49</v>
      </c>
      <c r="F278">
        <v>33</v>
      </c>
      <c r="G278">
        <v>78</v>
      </c>
      <c r="H278">
        <v>39</v>
      </c>
      <c r="I278">
        <v>57</v>
      </c>
      <c r="J278">
        <v>44</v>
      </c>
      <c r="K278">
        <v>32</v>
      </c>
      <c r="L278">
        <v>27</v>
      </c>
      <c r="M278">
        <v>44</v>
      </c>
      <c r="N278">
        <v>14</v>
      </c>
      <c r="O278">
        <v>35</v>
      </c>
      <c r="P278">
        <v>19</v>
      </c>
      <c r="Q278">
        <v>26</v>
      </c>
      <c r="R278">
        <v>18</v>
      </c>
      <c r="S278">
        <v>65</v>
      </c>
      <c r="T278">
        <v>31</v>
      </c>
      <c r="U278">
        <v>27</v>
      </c>
      <c r="V278">
        <v>32</v>
      </c>
      <c r="W278">
        <v>29</v>
      </c>
      <c r="X278">
        <v>19</v>
      </c>
      <c r="Y278">
        <v>37</v>
      </c>
      <c r="Z278">
        <f>SUM(B278:Y278)</f>
        <v>847</v>
      </c>
    </row>
    <row r="280" spans="1:27" x14ac:dyDescent="0.3">
      <c r="A280" t="s">
        <v>0</v>
      </c>
      <c r="B280" t="s">
        <v>64</v>
      </c>
    </row>
    <row r="281" spans="1:27" x14ac:dyDescent="0.3">
      <c r="A281" t="s">
        <v>3</v>
      </c>
      <c r="B281" s="1">
        <v>46296</v>
      </c>
      <c r="C281" s="1">
        <v>46303</v>
      </c>
      <c r="D281" s="1">
        <v>46310</v>
      </c>
      <c r="E281" s="1">
        <v>46317</v>
      </c>
      <c r="F281" s="1">
        <v>46327</v>
      </c>
      <c r="G281" s="1">
        <v>46334</v>
      </c>
      <c r="H281" s="1">
        <v>46341</v>
      </c>
      <c r="I281" s="1">
        <v>46348</v>
      </c>
      <c r="J281" s="1">
        <v>46357</v>
      </c>
      <c r="K281" s="1">
        <v>46364</v>
      </c>
      <c r="L281" s="1">
        <v>46371</v>
      </c>
      <c r="M281" s="1">
        <v>46378</v>
      </c>
      <c r="N281" s="1">
        <v>46023</v>
      </c>
      <c r="O281" s="1">
        <v>46030</v>
      </c>
      <c r="P281" s="1">
        <v>46037</v>
      </c>
      <c r="Q281" s="1">
        <v>46044</v>
      </c>
      <c r="R281" s="1">
        <v>46054</v>
      </c>
      <c r="S281" s="1">
        <v>46061</v>
      </c>
      <c r="T281" s="1">
        <v>46068</v>
      </c>
      <c r="U281" s="1">
        <v>46075</v>
      </c>
      <c r="V281" s="1">
        <v>46082</v>
      </c>
      <c r="W281" s="1">
        <v>46089</v>
      </c>
      <c r="X281" s="1">
        <v>46096</v>
      </c>
      <c r="Y281" s="1">
        <v>46103</v>
      </c>
    </row>
    <row r="282" spans="1:27" x14ac:dyDescent="0.3">
      <c r="A282" t="s">
        <v>58</v>
      </c>
      <c r="B282">
        <v>0.86342229199372</v>
      </c>
      <c r="C282">
        <v>1.0484927916120499</v>
      </c>
      <c r="D282">
        <v>1.0492332526230801</v>
      </c>
      <c r="E282">
        <v>0.58977719528178196</v>
      </c>
      <c r="F282">
        <v>0.31545741324921101</v>
      </c>
      <c r="G282">
        <v>0.414937759336099</v>
      </c>
      <c r="H282">
        <v>0.42780748663101598</v>
      </c>
      <c r="I282">
        <v>8.3612040133779195E-2</v>
      </c>
      <c r="J282">
        <v>0.118203309692671</v>
      </c>
      <c r="K282">
        <v>0.49200492004919999</v>
      </c>
      <c r="L282">
        <v>0.27063599458727999</v>
      </c>
      <c r="M282">
        <v>0.179051029543419</v>
      </c>
      <c r="N282">
        <v>6.4267352185089902E-2</v>
      </c>
      <c r="O282">
        <v>0.31612223393045302</v>
      </c>
      <c r="P282">
        <v>0.105708245243128</v>
      </c>
      <c r="Q282">
        <v>0.14992503748125899</v>
      </c>
      <c r="R282">
        <v>0.391006842619745</v>
      </c>
      <c r="S282">
        <v>0.19323671497584499</v>
      </c>
      <c r="T282">
        <v>8.5034013605442105E-2</v>
      </c>
      <c r="U282">
        <v>0</v>
      </c>
      <c r="V282">
        <v>0.17513134851138301</v>
      </c>
      <c r="W282">
        <v>0.23328149300155501</v>
      </c>
      <c r="X282">
        <v>0.16299918500407401</v>
      </c>
      <c r="Y282">
        <v>0.49019607843137197</v>
      </c>
    </row>
    <row r="283" spans="1:27" x14ac:dyDescent="0.3">
      <c r="A283" t="s">
        <v>48</v>
      </c>
      <c r="B283">
        <v>13</v>
      </c>
      <c r="C283">
        <v>16</v>
      </c>
      <c r="D283">
        <v>10</v>
      </c>
      <c r="E283">
        <v>10</v>
      </c>
      <c r="F283">
        <v>4</v>
      </c>
      <c r="G283">
        <v>4</v>
      </c>
      <c r="H283">
        <v>4</v>
      </c>
      <c r="I283">
        <v>0</v>
      </c>
      <c r="J283">
        <v>1</v>
      </c>
      <c r="K283">
        <v>4</v>
      </c>
      <c r="L283">
        <v>2</v>
      </c>
      <c r="M283">
        <v>2</v>
      </c>
      <c r="N283">
        <v>1</v>
      </c>
      <c r="O283">
        <v>3</v>
      </c>
      <c r="P283">
        <v>2</v>
      </c>
      <c r="Q283">
        <v>3</v>
      </c>
      <c r="R283">
        <v>4</v>
      </c>
      <c r="S283">
        <v>2</v>
      </c>
      <c r="T283">
        <v>2</v>
      </c>
      <c r="U283">
        <v>2</v>
      </c>
      <c r="V283">
        <v>2</v>
      </c>
      <c r="W283">
        <v>3</v>
      </c>
      <c r="X283">
        <v>2</v>
      </c>
      <c r="Y283">
        <v>12</v>
      </c>
      <c r="Z283">
        <f>SUM(B283:Y283)</f>
        <v>108</v>
      </c>
      <c r="AA283">
        <f>Z283/Z284</f>
        <v>3.7385765715868182E-3</v>
      </c>
    </row>
    <row r="284" spans="1:27" x14ac:dyDescent="0.3">
      <c r="A284" t="s">
        <v>2</v>
      </c>
      <c r="B284">
        <v>1274</v>
      </c>
      <c r="C284">
        <v>1526</v>
      </c>
      <c r="D284">
        <v>1239</v>
      </c>
      <c r="E284">
        <v>1526</v>
      </c>
      <c r="F284">
        <v>1268</v>
      </c>
      <c r="G284">
        <v>964</v>
      </c>
      <c r="H284">
        <v>935</v>
      </c>
      <c r="I284">
        <v>1196</v>
      </c>
      <c r="J284">
        <v>846</v>
      </c>
      <c r="K284">
        <v>813</v>
      </c>
      <c r="L284">
        <v>739</v>
      </c>
      <c r="M284">
        <v>1117</v>
      </c>
      <c r="N284">
        <v>1556</v>
      </c>
      <c r="O284">
        <v>949</v>
      </c>
      <c r="P284">
        <v>946</v>
      </c>
      <c r="Q284">
        <v>1334</v>
      </c>
      <c r="R284">
        <v>1023</v>
      </c>
      <c r="S284">
        <v>1035</v>
      </c>
      <c r="T284">
        <v>1176</v>
      </c>
      <c r="U284">
        <v>1323</v>
      </c>
      <c r="V284">
        <v>1142</v>
      </c>
      <c r="W284">
        <v>1286</v>
      </c>
      <c r="X284">
        <v>1227</v>
      </c>
      <c r="Y284">
        <v>2448</v>
      </c>
      <c r="Z284">
        <f>SUM(B284:Y284)</f>
        <v>28888</v>
      </c>
    </row>
    <row r="285" spans="1:27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7" x14ac:dyDescent="0.3">
      <c r="A286" t="s">
        <v>0</v>
      </c>
      <c r="B286" t="s">
        <v>65</v>
      </c>
    </row>
    <row r="287" spans="1:27" x14ac:dyDescent="0.3">
      <c r="A287" t="s">
        <v>3</v>
      </c>
      <c r="B287" s="1">
        <v>46296</v>
      </c>
      <c r="C287" s="1">
        <v>46303</v>
      </c>
      <c r="D287" s="1">
        <v>46310</v>
      </c>
      <c r="E287" s="1">
        <v>46317</v>
      </c>
      <c r="F287" s="1">
        <v>46327</v>
      </c>
      <c r="G287" s="1">
        <v>46334</v>
      </c>
      <c r="H287" s="1">
        <v>46341</v>
      </c>
      <c r="I287" s="1">
        <v>46348</v>
      </c>
      <c r="J287" s="1">
        <v>46357</v>
      </c>
      <c r="K287" s="1">
        <v>46364</v>
      </c>
      <c r="L287" s="1">
        <v>46371</v>
      </c>
      <c r="M287" s="1">
        <v>46378</v>
      </c>
      <c r="N287" s="1">
        <v>46023</v>
      </c>
      <c r="O287" s="1">
        <v>46030</v>
      </c>
      <c r="P287" s="1">
        <v>46037</v>
      </c>
      <c r="Q287" s="1">
        <v>46044</v>
      </c>
      <c r="R287" s="1">
        <v>46054</v>
      </c>
      <c r="S287" s="1">
        <v>46061</v>
      </c>
      <c r="T287" s="1">
        <v>46068</v>
      </c>
      <c r="U287" s="1">
        <v>46075</v>
      </c>
      <c r="V287" s="1">
        <v>46082</v>
      </c>
      <c r="W287" s="1">
        <v>46089</v>
      </c>
      <c r="X287" s="1">
        <v>46096</v>
      </c>
      <c r="Y287" s="1">
        <v>46103</v>
      </c>
    </row>
    <row r="288" spans="1:27" x14ac:dyDescent="0.3">
      <c r="A288" t="s">
        <v>58</v>
      </c>
      <c r="B288">
        <v>0.90909090909090895</v>
      </c>
      <c r="C288">
        <v>4.0625</v>
      </c>
      <c r="D288">
        <v>4.9792531120331898</v>
      </c>
      <c r="E288">
        <v>5.8295964125560502</v>
      </c>
      <c r="F288">
        <v>3.3333333333333299</v>
      </c>
      <c r="G288">
        <v>0.68493150684931503</v>
      </c>
      <c r="H288">
        <v>3.6496350364963499</v>
      </c>
      <c r="I288">
        <v>0.70921985815602795</v>
      </c>
      <c r="J288">
        <v>0</v>
      </c>
      <c r="K288">
        <v>2.0833333333333299</v>
      </c>
      <c r="L288">
        <v>3.3707865168539302</v>
      </c>
      <c r="M288">
        <v>2.2900763358778602</v>
      </c>
      <c r="N288">
        <v>4.7619047619047601</v>
      </c>
      <c r="O288">
        <v>3.2608695652173898</v>
      </c>
      <c r="P288">
        <v>1.8348623853210999</v>
      </c>
      <c r="Q288">
        <v>1.89873417721519</v>
      </c>
      <c r="R288">
        <v>0.86956521739130399</v>
      </c>
      <c r="S288">
        <v>1.0752688172042999</v>
      </c>
      <c r="T288">
        <v>2.0618556701030899</v>
      </c>
      <c r="U288">
        <v>1.98019801980198</v>
      </c>
      <c r="V288">
        <v>0.99009900990098998</v>
      </c>
      <c r="W288">
        <v>1.9607843137254899</v>
      </c>
      <c r="X288">
        <v>1.3605442176870699</v>
      </c>
      <c r="Y288">
        <v>1.4285714285714199</v>
      </c>
    </row>
    <row r="289" spans="1:27" x14ac:dyDescent="0.3">
      <c r="A289" t="s">
        <v>48</v>
      </c>
      <c r="B289">
        <v>2</v>
      </c>
      <c r="C289">
        <v>15</v>
      </c>
      <c r="D289">
        <v>13</v>
      </c>
      <c r="E289">
        <v>14</v>
      </c>
      <c r="F289">
        <v>5</v>
      </c>
      <c r="G289">
        <v>2</v>
      </c>
      <c r="H289">
        <v>6</v>
      </c>
      <c r="I289">
        <v>1</v>
      </c>
      <c r="J289">
        <v>1</v>
      </c>
      <c r="K289">
        <v>5</v>
      </c>
      <c r="L289">
        <v>2</v>
      </c>
      <c r="M289">
        <v>2</v>
      </c>
      <c r="N289">
        <v>6</v>
      </c>
      <c r="O289">
        <v>4</v>
      </c>
      <c r="P289">
        <v>2</v>
      </c>
      <c r="Q289">
        <v>3</v>
      </c>
      <c r="R289">
        <v>3</v>
      </c>
      <c r="S289">
        <v>1</v>
      </c>
      <c r="T289">
        <v>3</v>
      </c>
      <c r="U289">
        <v>3</v>
      </c>
      <c r="V289">
        <v>2</v>
      </c>
      <c r="W289">
        <v>3</v>
      </c>
      <c r="X289">
        <v>2</v>
      </c>
      <c r="Y289">
        <v>4</v>
      </c>
      <c r="Z289">
        <f>SUM(B289:Y289)</f>
        <v>104</v>
      </c>
      <c r="AA289">
        <f>Z289/Z290</f>
        <v>2.9353655094552639E-2</v>
      </c>
    </row>
    <row r="290" spans="1:27" x14ac:dyDescent="0.3">
      <c r="A290" t="s">
        <v>2</v>
      </c>
      <c r="B290">
        <v>220</v>
      </c>
      <c r="C290">
        <v>320</v>
      </c>
      <c r="D290">
        <v>241</v>
      </c>
      <c r="E290">
        <v>223</v>
      </c>
      <c r="F290">
        <v>150</v>
      </c>
      <c r="G290">
        <v>146</v>
      </c>
      <c r="H290">
        <v>137</v>
      </c>
      <c r="I290">
        <v>141</v>
      </c>
      <c r="J290">
        <v>128</v>
      </c>
      <c r="K290">
        <v>96</v>
      </c>
      <c r="L290">
        <v>89</v>
      </c>
      <c r="M290">
        <v>131</v>
      </c>
      <c r="N290">
        <v>126</v>
      </c>
      <c r="O290">
        <v>92</v>
      </c>
      <c r="P290">
        <v>109</v>
      </c>
      <c r="Q290">
        <v>158</v>
      </c>
      <c r="R290">
        <v>115</v>
      </c>
      <c r="S290">
        <v>93</v>
      </c>
      <c r="T290">
        <v>97</v>
      </c>
      <c r="U290">
        <v>101</v>
      </c>
      <c r="V290">
        <v>101</v>
      </c>
      <c r="W290">
        <v>102</v>
      </c>
      <c r="X290">
        <v>147</v>
      </c>
      <c r="Y290">
        <v>280</v>
      </c>
      <c r="Z290">
        <f>SUM(B290:Y290)</f>
        <v>3543</v>
      </c>
    </row>
    <row r="292" spans="1:27" x14ac:dyDescent="0.3">
      <c r="A292" t="s">
        <v>0</v>
      </c>
      <c r="B292" t="s">
        <v>66</v>
      </c>
      <c r="Y292" s="1"/>
    </row>
    <row r="293" spans="1:27" x14ac:dyDescent="0.3">
      <c r="A293" t="s">
        <v>3</v>
      </c>
      <c r="B293" s="1">
        <v>46296</v>
      </c>
      <c r="C293" s="1">
        <v>46303</v>
      </c>
      <c r="D293" s="1">
        <v>46310</v>
      </c>
      <c r="E293" s="1">
        <v>46317</v>
      </c>
      <c r="F293" s="1">
        <v>46327</v>
      </c>
      <c r="G293" s="1">
        <v>46334</v>
      </c>
      <c r="H293" s="1">
        <v>46341</v>
      </c>
      <c r="I293" s="1">
        <v>46348</v>
      </c>
      <c r="J293" s="1">
        <v>46357</v>
      </c>
      <c r="K293" s="1">
        <v>46364</v>
      </c>
      <c r="L293" s="1">
        <v>46371</v>
      </c>
      <c r="M293" s="1">
        <v>46378</v>
      </c>
      <c r="N293" s="1">
        <v>46023</v>
      </c>
      <c r="O293" s="1">
        <v>46030</v>
      </c>
      <c r="P293" s="1">
        <v>46037</v>
      </c>
      <c r="Q293" s="1">
        <v>46044</v>
      </c>
      <c r="R293" s="1">
        <v>46054</v>
      </c>
      <c r="S293" s="1">
        <v>46061</v>
      </c>
      <c r="T293" s="1">
        <v>46068</v>
      </c>
      <c r="U293" s="1">
        <v>46075</v>
      </c>
      <c r="V293" s="1">
        <v>46082</v>
      </c>
      <c r="W293" s="1">
        <v>46089</v>
      </c>
      <c r="X293" s="1">
        <v>46096</v>
      </c>
      <c r="Y293" s="1">
        <v>46103</v>
      </c>
    </row>
    <row r="294" spans="1:27" x14ac:dyDescent="0.3">
      <c r="A294" t="s">
        <v>58</v>
      </c>
      <c r="B294">
        <v>3.4172661870503598</v>
      </c>
      <c r="C294">
        <v>1.2690355329949199</v>
      </c>
      <c r="D294">
        <v>1.0067114093959699</v>
      </c>
      <c r="E294">
        <v>1.61290322580645</v>
      </c>
      <c r="F294">
        <v>1.26984126984126</v>
      </c>
      <c r="G294">
        <v>0.83333333333333304</v>
      </c>
      <c r="H294">
        <v>0.59347181008901995</v>
      </c>
      <c r="I294">
        <v>0</v>
      </c>
      <c r="J294">
        <v>0.35087719298245601</v>
      </c>
      <c r="K294">
        <v>0</v>
      </c>
      <c r="L294">
        <v>0</v>
      </c>
      <c r="M294">
        <v>0</v>
      </c>
      <c r="N294">
        <v>0.63694267515923497</v>
      </c>
      <c r="O294">
        <v>1.2345679012345601</v>
      </c>
      <c r="P294">
        <v>0</v>
      </c>
      <c r="Q294">
        <v>2.8925619834710701</v>
      </c>
      <c r="R294">
        <v>1.3274336283185799</v>
      </c>
      <c r="S294">
        <v>0.84388185654008396</v>
      </c>
      <c r="T294">
        <v>1.46520146520146</v>
      </c>
      <c r="U294">
        <v>0.37453183520599198</v>
      </c>
      <c r="V294">
        <v>0.26109660574412502</v>
      </c>
      <c r="W294">
        <v>0.26385224274406299</v>
      </c>
      <c r="X294">
        <v>0</v>
      </c>
      <c r="Y294">
        <v>0.92592592592592504</v>
      </c>
    </row>
    <row r="295" spans="1:27" x14ac:dyDescent="0.3">
      <c r="A295" t="s">
        <v>48</v>
      </c>
      <c r="B295">
        <v>21</v>
      </c>
      <c r="C295">
        <v>6</v>
      </c>
      <c r="D295">
        <v>5</v>
      </c>
      <c r="E295">
        <v>6</v>
      </c>
      <c r="F295">
        <v>4</v>
      </c>
      <c r="G295">
        <v>3</v>
      </c>
      <c r="H295">
        <v>2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1</v>
      </c>
      <c r="O295">
        <v>2</v>
      </c>
      <c r="P295">
        <v>0</v>
      </c>
      <c r="Q295">
        <v>7</v>
      </c>
      <c r="R295">
        <v>3</v>
      </c>
      <c r="S295">
        <v>3</v>
      </c>
      <c r="T295">
        <v>5</v>
      </c>
      <c r="U295">
        <v>2</v>
      </c>
      <c r="V295">
        <v>1</v>
      </c>
      <c r="W295">
        <v>2</v>
      </c>
      <c r="X295">
        <v>2</v>
      </c>
      <c r="Y295">
        <v>7</v>
      </c>
      <c r="Z295">
        <f>SUM(B295:Y295)</f>
        <v>84</v>
      </c>
      <c r="AA295">
        <f>Z295/Z296</f>
        <v>1.1217948717948718E-2</v>
      </c>
    </row>
    <row r="296" spans="1:27" x14ac:dyDescent="0.3">
      <c r="A296" t="s">
        <v>2</v>
      </c>
      <c r="B296">
        <v>556</v>
      </c>
      <c r="C296">
        <v>394</v>
      </c>
      <c r="D296">
        <v>298</v>
      </c>
      <c r="E296">
        <v>372</v>
      </c>
      <c r="F296">
        <v>315</v>
      </c>
      <c r="G296">
        <v>360</v>
      </c>
      <c r="H296">
        <v>337</v>
      </c>
      <c r="I296">
        <v>350</v>
      </c>
      <c r="J296">
        <v>285</v>
      </c>
      <c r="K296">
        <v>330</v>
      </c>
      <c r="L296">
        <v>260</v>
      </c>
      <c r="M296">
        <v>400</v>
      </c>
      <c r="N296">
        <v>157</v>
      </c>
      <c r="O296">
        <v>162</v>
      </c>
      <c r="P296">
        <v>145</v>
      </c>
      <c r="Q296">
        <v>242</v>
      </c>
      <c r="R296">
        <v>226</v>
      </c>
      <c r="S296">
        <v>237</v>
      </c>
      <c r="T296">
        <v>273</v>
      </c>
      <c r="U296">
        <v>267</v>
      </c>
      <c r="V296">
        <v>383</v>
      </c>
      <c r="W296">
        <v>379</v>
      </c>
      <c r="X296">
        <v>328</v>
      </c>
      <c r="Y296">
        <v>432</v>
      </c>
      <c r="Z296">
        <f>SUM(B296:Y296)</f>
        <v>7488</v>
      </c>
    </row>
    <row r="297" spans="1:27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7" x14ac:dyDescent="0.3">
      <c r="A298" t="s">
        <v>0</v>
      </c>
      <c r="B298" t="s">
        <v>67</v>
      </c>
    </row>
    <row r="299" spans="1:27" x14ac:dyDescent="0.3">
      <c r="A299" t="s">
        <v>3</v>
      </c>
      <c r="B299" s="1">
        <v>46296</v>
      </c>
      <c r="C299" s="1">
        <v>46303</v>
      </c>
      <c r="D299" s="1">
        <v>46310</v>
      </c>
      <c r="E299" s="1">
        <v>46317</v>
      </c>
      <c r="F299" s="1">
        <v>46327</v>
      </c>
      <c r="G299" s="1">
        <v>46334</v>
      </c>
      <c r="H299" s="1">
        <v>46341</v>
      </c>
      <c r="I299" s="1">
        <v>46348</v>
      </c>
      <c r="J299" s="1">
        <v>46357</v>
      </c>
      <c r="K299" s="1">
        <v>46364</v>
      </c>
      <c r="L299" s="1">
        <v>46371</v>
      </c>
      <c r="M299" s="1">
        <v>46378</v>
      </c>
      <c r="N299" s="1">
        <v>46023</v>
      </c>
      <c r="O299" s="1">
        <v>46030</v>
      </c>
      <c r="P299" s="1">
        <v>46037</v>
      </c>
      <c r="Q299" s="1">
        <v>46044</v>
      </c>
      <c r="R299" s="1">
        <v>46054</v>
      </c>
      <c r="S299" s="1">
        <v>46061</v>
      </c>
      <c r="T299" s="1">
        <v>46068</v>
      </c>
      <c r="U299" s="1">
        <v>46075</v>
      </c>
      <c r="V299" s="1">
        <v>46082</v>
      </c>
      <c r="W299" s="1">
        <v>46089</v>
      </c>
      <c r="X299" s="1">
        <v>46096</v>
      </c>
      <c r="Y299" s="1">
        <v>46103</v>
      </c>
    </row>
    <row r="300" spans="1:27" x14ac:dyDescent="0.3">
      <c r="A300" t="s">
        <v>58</v>
      </c>
      <c r="B300">
        <v>0.29581192589132799</v>
      </c>
      <c r="C300">
        <v>0.71616137502984001</v>
      </c>
      <c r="D300">
        <v>0.60660525724556202</v>
      </c>
      <c r="E300">
        <v>0.61604805174803601</v>
      </c>
      <c r="F300">
        <v>1.1072664359861499</v>
      </c>
      <c r="G300">
        <v>1.0006387055567301</v>
      </c>
      <c r="H300">
        <v>0.96795009679500899</v>
      </c>
      <c r="I300">
        <v>0.95846645367412098</v>
      </c>
      <c r="J300">
        <v>0.76178711138562805</v>
      </c>
      <c r="K300">
        <v>0.41666666666666602</v>
      </c>
      <c r="L300">
        <v>0.692680674209189</v>
      </c>
      <c r="M300">
        <v>0.63565052745469297</v>
      </c>
      <c r="N300">
        <v>0.40330711837063898</v>
      </c>
      <c r="O300">
        <v>0.27310924369747802</v>
      </c>
      <c r="P300">
        <v>0.59523809523809501</v>
      </c>
      <c r="Q300">
        <v>0.44267374944665699</v>
      </c>
      <c r="R300">
        <v>0.47774158523344101</v>
      </c>
      <c r="S300">
        <v>0.44737461737697198</v>
      </c>
      <c r="T300">
        <v>0.14745637748832599</v>
      </c>
      <c r="U300">
        <v>0.360082304526749</v>
      </c>
      <c r="V300">
        <v>0.44009779951100197</v>
      </c>
      <c r="W300">
        <v>0.32272936837252097</v>
      </c>
      <c r="X300">
        <v>0.39215686274509798</v>
      </c>
      <c r="Y300">
        <v>0.43566205072351</v>
      </c>
    </row>
    <row r="301" spans="1:27" x14ac:dyDescent="0.3">
      <c r="A301" t="s">
        <v>48</v>
      </c>
      <c r="B301">
        <v>18</v>
      </c>
      <c r="C301">
        <v>31</v>
      </c>
      <c r="D301">
        <v>29</v>
      </c>
      <c r="E301">
        <v>52</v>
      </c>
      <c r="F301">
        <v>55</v>
      </c>
      <c r="G301">
        <v>52</v>
      </c>
      <c r="H301">
        <v>48</v>
      </c>
      <c r="I301">
        <v>63</v>
      </c>
      <c r="J301">
        <v>40</v>
      </c>
      <c r="K301">
        <v>26</v>
      </c>
      <c r="L301">
        <v>31</v>
      </c>
      <c r="M301">
        <v>56</v>
      </c>
      <c r="N301">
        <v>23</v>
      </c>
      <c r="O301">
        <v>13</v>
      </c>
      <c r="P301">
        <v>31</v>
      </c>
      <c r="Q301">
        <v>32</v>
      </c>
      <c r="R301">
        <v>25</v>
      </c>
      <c r="S301">
        <v>20</v>
      </c>
      <c r="T301">
        <v>6</v>
      </c>
      <c r="U301">
        <v>17</v>
      </c>
      <c r="V301">
        <v>20</v>
      </c>
      <c r="W301">
        <v>17</v>
      </c>
      <c r="X301">
        <v>16</v>
      </c>
      <c r="Y301">
        <v>30</v>
      </c>
      <c r="Z301">
        <f>SUM(B301:Y301)</f>
        <v>751</v>
      </c>
      <c r="AA301">
        <f>Z301/Z302</f>
        <v>6.287781108190023E-3</v>
      </c>
    </row>
    <row r="302" spans="1:27" x14ac:dyDescent="0.3">
      <c r="A302" t="s">
        <v>2</v>
      </c>
      <c r="B302">
        <v>6423</v>
      </c>
      <c r="C302">
        <v>4189</v>
      </c>
      <c r="D302">
        <v>4451</v>
      </c>
      <c r="E302">
        <v>6493</v>
      </c>
      <c r="F302">
        <v>4335</v>
      </c>
      <c r="G302">
        <v>4697</v>
      </c>
      <c r="H302">
        <v>4649</v>
      </c>
      <c r="I302">
        <v>5947</v>
      </c>
      <c r="J302">
        <v>4857</v>
      </c>
      <c r="K302">
        <v>4560</v>
      </c>
      <c r="L302">
        <v>4331</v>
      </c>
      <c r="M302">
        <v>7394</v>
      </c>
      <c r="N302">
        <v>4959</v>
      </c>
      <c r="O302">
        <v>4760</v>
      </c>
      <c r="P302">
        <v>4872</v>
      </c>
      <c r="Q302">
        <v>6777</v>
      </c>
      <c r="R302">
        <v>4605</v>
      </c>
      <c r="S302">
        <v>4247</v>
      </c>
      <c r="T302">
        <v>4069</v>
      </c>
      <c r="U302">
        <v>3888</v>
      </c>
      <c r="V302">
        <v>4090</v>
      </c>
      <c r="W302">
        <v>4338</v>
      </c>
      <c r="X302">
        <v>4080</v>
      </c>
      <c r="Y302">
        <v>6427</v>
      </c>
      <c r="Z302">
        <f>SUM(B302:Y302)</f>
        <v>119438</v>
      </c>
    </row>
    <row r="304" spans="1:27" x14ac:dyDescent="0.3">
      <c r="A304" t="s">
        <v>0</v>
      </c>
      <c r="B304" t="s">
        <v>68</v>
      </c>
      <c r="Y304" s="1"/>
    </row>
    <row r="305" spans="1:27" x14ac:dyDescent="0.3">
      <c r="A305" t="s">
        <v>3</v>
      </c>
      <c r="B305" s="1">
        <v>46296</v>
      </c>
      <c r="C305" s="1">
        <v>46303</v>
      </c>
      <c r="D305" s="1">
        <v>46310</v>
      </c>
      <c r="E305" s="1">
        <v>46317</v>
      </c>
      <c r="F305" s="1">
        <v>46327</v>
      </c>
      <c r="G305" s="1">
        <v>46334</v>
      </c>
      <c r="H305" s="1">
        <v>46341</v>
      </c>
      <c r="I305" s="1">
        <v>46348</v>
      </c>
      <c r="J305" s="1">
        <v>46357</v>
      </c>
      <c r="K305" s="1">
        <v>46364</v>
      </c>
      <c r="L305" s="1">
        <v>46371</v>
      </c>
      <c r="M305" s="1">
        <v>46378</v>
      </c>
      <c r="N305" s="1">
        <v>46023</v>
      </c>
      <c r="O305" s="1">
        <v>46030</v>
      </c>
      <c r="P305" s="1">
        <v>46037</v>
      </c>
      <c r="Q305" s="1">
        <v>46044</v>
      </c>
      <c r="R305" s="1">
        <v>46054</v>
      </c>
      <c r="S305" s="1">
        <v>46061</v>
      </c>
      <c r="T305" s="1">
        <v>46068</v>
      </c>
      <c r="U305" s="1">
        <v>46075</v>
      </c>
      <c r="V305" s="1">
        <v>46082</v>
      </c>
      <c r="W305" s="1">
        <v>46089</v>
      </c>
      <c r="X305" s="1">
        <v>46096</v>
      </c>
      <c r="Y305" s="1">
        <v>46103</v>
      </c>
    </row>
    <row r="306" spans="1:27" x14ac:dyDescent="0.3">
      <c r="A306" t="s">
        <v>58</v>
      </c>
      <c r="B306">
        <v>0</v>
      </c>
      <c r="C306">
        <v>1.4285714285714199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1.6949152542372801</v>
      </c>
      <c r="L306">
        <v>0</v>
      </c>
      <c r="M306">
        <v>0</v>
      </c>
      <c r="N306">
        <v>5</v>
      </c>
      <c r="O306">
        <v>14.285714285714199</v>
      </c>
      <c r="P306">
        <v>0</v>
      </c>
      <c r="Q306">
        <v>2</v>
      </c>
      <c r="R306">
        <v>2.7027027027027</v>
      </c>
      <c r="S306">
        <v>1.40845070422535</v>
      </c>
      <c r="T306">
        <v>0.91743119266054995</v>
      </c>
      <c r="U306">
        <v>2.5641025641025599</v>
      </c>
      <c r="V306">
        <v>0</v>
      </c>
      <c r="W306">
        <v>0</v>
      </c>
      <c r="X306">
        <v>7.8947368421052602</v>
      </c>
      <c r="Y306">
        <v>7.11974110032362</v>
      </c>
    </row>
    <row r="307" spans="1:27" x14ac:dyDescent="0.3">
      <c r="A307" t="s">
        <v>48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1</v>
      </c>
      <c r="U307">
        <v>7</v>
      </c>
      <c r="V307">
        <v>4</v>
      </c>
      <c r="W307">
        <v>2</v>
      </c>
      <c r="X307">
        <v>15</v>
      </c>
      <c r="Y307">
        <v>29</v>
      </c>
      <c r="Z307">
        <f>SUM(B307:Y307)</f>
        <v>64</v>
      </c>
      <c r="AA307">
        <f>Z307/Z308</f>
        <v>4.306864064602961E-2</v>
      </c>
    </row>
    <row r="308" spans="1:27" x14ac:dyDescent="0.3">
      <c r="A308" t="s">
        <v>2</v>
      </c>
      <c r="B308">
        <v>106</v>
      </c>
      <c r="C308">
        <v>70</v>
      </c>
      <c r="D308">
        <v>111</v>
      </c>
      <c r="E308">
        <v>44</v>
      </c>
      <c r="F308">
        <v>27</v>
      </c>
      <c r="G308">
        <v>23</v>
      </c>
      <c r="H308">
        <v>20</v>
      </c>
      <c r="I308">
        <v>65</v>
      </c>
      <c r="J308">
        <v>48</v>
      </c>
      <c r="K308">
        <v>59</v>
      </c>
      <c r="L308">
        <v>69</v>
      </c>
      <c r="M308">
        <v>18</v>
      </c>
      <c r="N308">
        <v>20</v>
      </c>
      <c r="O308">
        <v>7</v>
      </c>
      <c r="P308">
        <v>15</v>
      </c>
      <c r="Q308">
        <v>50</v>
      </c>
      <c r="R308">
        <v>37</v>
      </c>
      <c r="S308">
        <v>71</v>
      </c>
      <c r="T308">
        <v>109</v>
      </c>
      <c r="U308">
        <v>39</v>
      </c>
      <c r="V308">
        <v>27</v>
      </c>
      <c r="W308">
        <v>28</v>
      </c>
      <c r="X308">
        <v>114</v>
      </c>
      <c r="Y308">
        <v>309</v>
      </c>
      <c r="Z308">
        <f>SUM(B308:Y308)</f>
        <v>1486</v>
      </c>
    </row>
    <row r="309" spans="1:27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7" x14ac:dyDescent="0.3">
      <c r="A310" t="s">
        <v>0</v>
      </c>
      <c r="B310" t="s">
        <v>69</v>
      </c>
    </row>
    <row r="311" spans="1:27" x14ac:dyDescent="0.3">
      <c r="A311" t="s">
        <v>3</v>
      </c>
      <c r="B311" s="1">
        <v>46296</v>
      </c>
      <c r="C311" s="1">
        <v>46303</v>
      </c>
      <c r="D311" s="1">
        <v>46310</v>
      </c>
      <c r="E311" s="1">
        <v>46317</v>
      </c>
      <c r="F311" s="1">
        <v>46327</v>
      </c>
      <c r="G311" s="1">
        <v>46334</v>
      </c>
      <c r="H311" s="1">
        <v>46341</v>
      </c>
      <c r="I311" s="1">
        <v>46348</v>
      </c>
      <c r="J311" s="1">
        <v>46357</v>
      </c>
      <c r="K311" s="1">
        <v>46364</v>
      </c>
      <c r="L311" s="1">
        <v>46371</v>
      </c>
      <c r="M311" s="1">
        <v>46378</v>
      </c>
      <c r="N311" s="1">
        <v>46023</v>
      </c>
      <c r="O311" s="1">
        <v>46030</v>
      </c>
      <c r="P311" s="1">
        <v>46037</v>
      </c>
      <c r="Q311" s="1">
        <v>46044</v>
      </c>
      <c r="R311" s="1">
        <v>46054</v>
      </c>
      <c r="S311" s="1">
        <v>46061</v>
      </c>
      <c r="T311" s="1">
        <v>46068</v>
      </c>
      <c r="U311" s="1">
        <v>46075</v>
      </c>
      <c r="V311" s="1">
        <v>46082</v>
      </c>
      <c r="W311" s="1">
        <v>46089</v>
      </c>
      <c r="X311" s="1">
        <v>46096</v>
      </c>
      <c r="Y311" s="1">
        <v>46103</v>
      </c>
    </row>
    <row r="312" spans="1:27" x14ac:dyDescent="0.3">
      <c r="A312" t="s">
        <v>58</v>
      </c>
      <c r="B312">
        <v>0.86206896551724099</v>
      </c>
      <c r="C312">
        <v>1.25</v>
      </c>
      <c r="D312">
        <v>0.68493150684931503</v>
      </c>
      <c r="E312">
        <v>1.16959064327485</v>
      </c>
      <c r="F312">
        <v>1.14942528735632</v>
      </c>
      <c r="G312">
        <v>1.31578947368421</v>
      </c>
      <c r="H312">
        <v>0</v>
      </c>
      <c r="I312">
        <v>0.83333333333333304</v>
      </c>
      <c r="J312">
        <v>1.5267175572519001</v>
      </c>
      <c r="K312">
        <v>0.89285714285714202</v>
      </c>
      <c r="L312">
        <v>4.6875</v>
      </c>
      <c r="M312">
        <v>3.2258064516128999</v>
      </c>
      <c r="N312">
        <v>2.0408163265306101</v>
      </c>
      <c r="O312">
        <v>1.88679245283018</v>
      </c>
      <c r="P312">
        <v>0</v>
      </c>
      <c r="Q312">
        <v>1.4925373134328299</v>
      </c>
      <c r="R312">
        <v>1.0309278350515401</v>
      </c>
      <c r="S312">
        <v>2.38095238095238</v>
      </c>
      <c r="T312">
        <v>2.0833333333333299</v>
      </c>
      <c r="U312">
        <v>2.34375</v>
      </c>
      <c r="V312">
        <v>1.2048192771084301</v>
      </c>
      <c r="W312">
        <v>0</v>
      </c>
      <c r="X312">
        <v>0</v>
      </c>
      <c r="Y312">
        <v>1.0204081632652999</v>
      </c>
    </row>
    <row r="313" spans="1:27" x14ac:dyDescent="0.3">
      <c r="A313" t="s">
        <v>48</v>
      </c>
      <c r="B313">
        <v>1</v>
      </c>
      <c r="C313">
        <v>1</v>
      </c>
      <c r="D313">
        <v>1</v>
      </c>
      <c r="E313">
        <v>4</v>
      </c>
      <c r="F313">
        <v>2</v>
      </c>
      <c r="G313">
        <v>1</v>
      </c>
      <c r="H313">
        <v>0</v>
      </c>
      <c r="I313">
        <v>1</v>
      </c>
      <c r="J313">
        <v>3</v>
      </c>
      <c r="K313">
        <v>1</v>
      </c>
      <c r="L313">
        <v>3</v>
      </c>
      <c r="M313">
        <v>3</v>
      </c>
      <c r="N313">
        <v>0</v>
      </c>
      <c r="O313">
        <v>1</v>
      </c>
      <c r="P313">
        <v>1</v>
      </c>
      <c r="Q313">
        <v>2</v>
      </c>
      <c r="R313">
        <v>1</v>
      </c>
      <c r="S313">
        <v>2</v>
      </c>
      <c r="T313">
        <v>2</v>
      </c>
      <c r="U313">
        <v>5</v>
      </c>
      <c r="V313">
        <v>1</v>
      </c>
      <c r="W313">
        <v>0</v>
      </c>
      <c r="X313">
        <v>0</v>
      </c>
      <c r="Y313">
        <v>2</v>
      </c>
      <c r="Z313">
        <f>SUM(B313:Y313)</f>
        <v>38</v>
      </c>
      <c r="AA313">
        <f>Z313/Z314</f>
        <v>1.6564952048823016E-2</v>
      </c>
    </row>
    <row r="314" spans="1:27" x14ac:dyDescent="0.3">
      <c r="A314" t="s">
        <v>2</v>
      </c>
      <c r="B314">
        <v>116</v>
      </c>
      <c r="C314">
        <v>80</v>
      </c>
      <c r="D314">
        <v>146</v>
      </c>
      <c r="E314">
        <v>171</v>
      </c>
      <c r="F314">
        <v>87</v>
      </c>
      <c r="G314">
        <v>76</v>
      </c>
      <c r="H314">
        <v>64</v>
      </c>
      <c r="I314">
        <v>120</v>
      </c>
      <c r="J314">
        <v>131</v>
      </c>
      <c r="K314">
        <v>112</v>
      </c>
      <c r="L314">
        <v>64</v>
      </c>
      <c r="M314">
        <v>62</v>
      </c>
      <c r="N314">
        <v>49</v>
      </c>
      <c r="O314">
        <v>53</v>
      </c>
      <c r="P314">
        <v>41</v>
      </c>
      <c r="Q314">
        <v>67</v>
      </c>
      <c r="R314">
        <v>97</v>
      </c>
      <c r="S314">
        <v>84</v>
      </c>
      <c r="T314">
        <v>96</v>
      </c>
      <c r="U314">
        <v>128</v>
      </c>
      <c r="V314">
        <v>83</v>
      </c>
      <c r="W314">
        <v>74</v>
      </c>
      <c r="X314">
        <v>97</v>
      </c>
      <c r="Y314">
        <v>196</v>
      </c>
      <c r="Z314">
        <f>SUM(B314:Y314)</f>
        <v>2294</v>
      </c>
    </row>
    <row r="316" spans="1:27" x14ac:dyDescent="0.3">
      <c r="A316" t="s">
        <v>0</v>
      </c>
      <c r="B316" t="s">
        <v>70</v>
      </c>
      <c r="Y316" s="1"/>
    </row>
    <row r="317" spans="1:27" x14ac:dyDescent="0.3">
      <c r="A317" t="s">
        <v>3</v>
      </c>
      <c r="B317" s="1">
        <v>46296</v>
      </c>
      <c r="C317" s="1">
        <v>46303</v>
      </c>
      <c r="D317" s="1">
        <v>46310</v>
      </c>
      <c r="E317" s="1">
        <v>46317</v>
      </c>
      <c r="F317" s="1">
        <v>46327</v>
      </c>
      <c r="G317" s="1">
        <v>46334</v>
      </c>
      <c r="H317" s="1">
        <v>46341</v>
      </c>
      <c r="I317" s="1">
        <v>46348</v>
      </c>
      <c r="J317" s="1">
        <v>46357</v>
      </c>
      <c r="K317" s="1">
        <v>46364</v>
      </c>
      <c r="L317" s="1">
        <v>46371</v>
      </c>
      <c r="M317" s="1">
        <v>46378</v>
      </c>
      <c r="N317" s="1">
        <v>46023</v>
      </c>
      <c r="O317" s="1">
        <v>46030</v>
      </c>
      <c r="P317" s="1">
        <v>46037</v>
      </c>
      <c r="Q317" s="1">
        <v>46044</v>
      </c>
      <c r="R317" s="1">
        <v>46054</v>
      </c>
      <c r="S317" s="1">
        <v>46061</v>
      </c>
      <c r="T317" s="1">
        <v>46068</v>
      </c>
      <c r="U317" s="1">
        <v>46075</v>
      </c>
      <c r="V317" s="1">
        <v>46082</v>
      </c>
      <c r="W317" s="1">
        <v>46089</v>
      </c>
      <c r="X317" s="1">
        <v>46096</v>
      </c>
      <c r="Y317" s="1">
        <v>46103</v>
      </c>
    </row>
    <row r="318" spans="1:27" x14ac:dyDescent="0.3">
      <c r="A318" t="s">
        <v>58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7" x14ac:dyDescent="0.3">
      <c r="A319" t="s">
        <v>48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f>SUM(B319:Y319)</f>
        <v>1</v>
      </c>
      <c r="AA319">
        <f>Z319/Z320</f>
        <v>6.6666666666666671E-3</v>
      </c>
    </row>
    <row r="320" spans="1:27" x14ac:dyDescent="0.3">
      <c r="A320" t="s">
        <v>2</v>
      </c>
      <c r="B320">
        <v>9</v>
      </c>
      <c r="C320">
        <v>5</v>
      </c>
      <c r="D320">
        <v>3</v>
      </c>
      <c r="E320">
        <v>3</v>
      </c>
      <c r="F320">
        <v>6</v>
      </c>
      <c r="G320">
        <v>14</v>
      </c>
      <c r="H320">
        <v>2</v>
      </c>
      <c r="I320">
        <v>2</v>
      </c>
      <c r="J320">
        <v>1</v>
      </c>
      <c r="K320">
        <v>12</v>
      </c>
      <c r="L320">
        <v>12</v>
      </c>
      <c r="M320">
        <v>8</v>
      </c>
      <c r="N320">
        <v>1</v>
      </c>
      <c r="O320">
        <v>11</v>
      </c>
      <c r="P320">
        <v>8</v>
      </c>
      <c r="Q320">
        <v>4</v>
      </c>
      <c r="R320">
        <v>3</v>
      </c>
      <c r="S320">
        <v>4</v>
      </c>
      <c r="T320">
        <v>3</v>
      </c>
      <c r="U320">
        <v>2</v>
      </c>
      <c r="V320">
        <v>5</v>
      </c>
      <c r="W320">
        <v>2</v>
      </c>
      <c r="X320">
        <v>4</v>
      </c>
      <c r="Y320">
        <v>26</v>
      </c>
      <c r="Z320">
        <f>SUM(B320:Y320)</f>
        <v>150</v>
      </c>
    </row>
    <row r="321" spans="1:27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7" x14ac:dyDescent="0.3">
      <c r="A322" t="s">
        <v>0</v>
      </c>
      <c r="B322" t="s">
        <v>71</v>
      </c>
    </row>
    <row r="323" spans="1:27" x14ac:dyDescent="0.3">
      <c r="A323" t="s">
        <v>3</v>
      </c>
      <c r="B323" s="1">
        <v>46296</v>
      </c>
      <c r="C323" s="1">
        <v>46303</v>
      </c>
      <c r="D323" s="1">
        <v>46310</v>
      </c>
      <c r="E323" s="1">
        <v>46317</v>
      </c>
      <c r="F323" s="1">
        <v>46327</v>
      </c>
      <c r="G323" s="1">
        <v>46334</v>
      </c>
      <c r="H323" s="1">
        <v>46341</v>
      </c>
      <c r="I323" s="1">
        <v>46348</v>
      </c>
      <c r="J323" s="1">
        <v>46357</v>
      </c>
      <c r="K323" s="1">
        <v>46364</v>
      </c>
      <c r="L323" s="1">
        <v>46371</v>
      </c>
      <c r="M323" s="1">
        <v>46378</v>
      </c>
      <c r="N323" s="1">
        <v>46023</v>
      </c>
      <c r="O323" s="1">
        <v>46030</v>
      </c>
      <c r="P323" s="1">
        <v>46037</v>
      </c>
      <c r="Q323" s="1">
        <v>46044</v>
      </c>
      <c r="R323" s="1">
        <v>46054</v>
      </c>
      <c r="S323" s="1">
        <v>46061</v>
      </c>
      <c r="T323" s="1">
        <v>46068</v>
      </c>
      <c r="U323" s="1">
        <v>46075</v>
      </c>
      <c r="V323" s="1">
        <v>46082</v>
      </c>
      <c r="W323" s="1">
        <v>46089</v>
      </c>
      <c r="X323" s="1">
        <v>46096</v>
      </c>
      <c r="Y323" s="1">
        <v>46103</v>
      </c>
    </row>
    <row r="324" spans="1:27" x14ac:dyDescent="0.3">
      <c r="A324" t="s">
        <v>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1.2048192771084301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0.84745762711864403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7" x14ac:dyDescent="0.3">
      <c r="A325" t="s">
        <v>48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f>SUM(B325:Y325)</f>
        <v>3</v>
      </c>
      <c r="AA325">
        <f>Z325/Z326</f>
        <v>1.2842465753424657E-3</v>
      </c>
    </row>
    <row r="326" spans="1:27" x14ac:dyDescent="0.3">
      <c r="A326" t="s">
        <v>2</v>
      </c>
      <c r="B326">
        <v>160</v>
      </c>
      <c r="C326">
        <v>112</v>
      </c>
      <c r="D326">
        <v>123</v>
      </c>
      <c r="E326">
        <v>121</v>
      </c>
      <c r="F326">
        <v>72</v>
      </c>
      <c r="G326">
        <v>71</v>
      </c>
      <c r="H326">
        <v>89</v>
      </c>
      <c r="I326">
        <v>157</v>
      </c>
      <c r="J326">
        <v>83</v>
      </c>
      <c r="K326">
        <v>54</v>
      </c>
      <c r="L326">
        <v>68</v>
      </c>
      <c r="M326">
        <v>99</v>
      </c>
      <c r="N326">
        <v>104</v>
      </c>
      <c r="O326">
        <v>74</v>
      </c>
      <c r="P326">
        <v>64</v>
      </c>
      <c r="Q326">
        <v>89</v>
      </c>
      <c r="R326">
        <v>63</v>
      </c>
      <c r="S326">
        <v>79</v>
      </c>
      <c r="T326">
        <v>118</v>
      </c>
      <c r="U326">
        <v>83</v>
      </c>
      <c r="V326">
        <v>102</v>
      </c>
      <c r="W326">
        <v>108</v>
      </c>
      <c r="X326">
        <v>101</v>
      </c>
      <c r="Y326">
        <v>142</v>
      </c>
      <c r="Z326">
        <f>SUM(B326:Y326)</f>
        <v>2336</v>
      </c>
    </row>
    <row r="328" spans="1:27" x14ac:dyDescent="0.3">
      <c r="A328" t="s">
        <v>0</v>
      </c>
      <c r="B328" t="s">
        <v>72</v>
      </c>
      <c r="Y328" s="1"/>
    </row>
    <row r="329" spans="1:27" x14ac:dyDescent="0.3">
      <c r="A329" t="s">
        <v>3</v>
      </c>
      <c r="B329" s="1">
        <v>46296</v>
      </c>
      <c r="C329" s="1">
        <v>46303</v>
      </c>
      <c r="D329" s="1">
        <v>46310</v>
      </c>
      <c r="E329" s="1">
        <v>46317</v>
      </c>
      <c r="F329" s="1">
        <v>46327</v>
      </c>
      <c r="G329" s="1">
        <v>46334</v>
      </c>
      <c r="H329" s="1">
        <v>46341</v>
      </c>
      <c r="I329" s="1">
        <v>46348</v>
      </c>
      <c r="J329" s="1">
        <v>46357</v>
      </c>
      <c r="K329" s="1">
        <v>46364</v>
      </c>
      <c r="L329" s="1">
        <v>46371</v>
      </c>
      <c r="M329" s="1">
        <v>46378</v>
      </c>
      <c r="N329" s="1">
        <v>46023</v>
      </c>
      <c r="O329" s="1">
        <v>46030</v>
      </c>
      <c r="P329" s="1">
        <v>46037</v>
      </c>
      <c r="Q329" s="1">
        <v>46044</v>
      </c>
      <c r="R329" s="1">
        <v>46054</v>
      </c>
      <c r="S329" s="1">
        <v>46061</v>
      </c>
      <c r="T329" s="1">
        <v>46068</v>
      </c>
      <c r="U329" s="1">
        <v>46075</v>
      </c>
      <c r="V329" s="1">
        <v>46082</v>
      </c>
      <c r="W329" s="1">
        <v>46089</v>
      </c>
      <c r="X329" s="1">
        <v>46096</v>
      </c>
      <c r="Y329" s="1">
        <v>46103</v>
      </c>
    </row>
    <row r="330" spans="1:27" x14ac:dyDescent="0.3">
      <c r="A330" t="s">
        <v>58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7" x14ac:dyDescent="0.3">
      <c r="A331" t="s">
        <v>48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f>SUM(B331:Y331)</f>
        <v>0</v>
      </c>
      <c r="AA331">
        <f>Z331/Z332</f>
        <v>0</v>
      </c>
    </row>
    <row r="332" spans="1:27" x14ac:dyDescent="0.3">
      <c r="A332" t="s">
        <v>2</v>
      </c>
      <c r="B332">
        <v>3</v>
      </c>
      <c r="C332">
        <v>4</v>
      </c>
      <c r="D332">
        <v>0</v>
      </c>
      <c r="E332">
        <v>1</v>
      </c>
      <c r="F332">
        <v>2</v>
      </c>
      <c r="G332">
        <v>0</v>
      </c>
      <c r="H332">
        <v>1</v>
      </c>
      <c r="I332">
        <v>3</v>
      </c>
      <c r="J332">
        <v>0</v>
      </c>
      <c r="K332">
        <v>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8</v>
      </c>
      <c r="R332">
        <v>1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3</v>
      </c>
      <c r="Y332">
        <v>5</v>
      </c>
      <c r="Z332">
        <f>SUM(B332:Y332)</f>
        <v>36</v>
      </c>
    </row>
    <row r="334" spans="1:27" x14ac:dyDescent="0.3">
      <c r="A334" t="s">
        <v>0</v>
      </c>
      <c r="B334" t="s">
        <v>73</v>
      </c>
    </row>
    <row r="335" spans="1:27" x14ac:dyDescent="0.3">
      <c r="A335" t="s">
        <v>3</v>
      </c>
      <c r="B335" s="1">
        <v>46296</v>
      </c>
      <c r="C335" s="1">
        <v>46303</v>
      </c>
      <c r="D335" s="1">
        <v>46310</v>
      </c>
      <c r="E335" s="1">
        <v>46317</v>
      </c>
      <c r="F335" s="1">
        <v>46327</v>
      </c>
      <c r="G335" s="1">
        <v>46334</v>
      </c>
      <c r="H335" s="1">
        <v>46341</v>
      </c>
      <c r="I335" s="1">
        <v>46348</v>
      </c>
      <c r="J335" s="1">
        <v>46357</v>
      </c>
      <c r="K335" s="1">
        <v>46364</v>
      </c>
      <c r="L335" s="1">
        <v>46371</v>
      </c>
      <c r="M335" s="1">
        <v>46378</v>
      </c>
      <c r="N335" s="1">
        <v>46023</v>
      </c>
      <c r="O335" s="1">
        <v>46030</v>
      </c>
      <c r="P335" s="1">
        <v>46037</v>
      </c>
      <c r="Q335" s="1">
        <v>46044</v>
      </c>
      <c r="R335" s="1">
        <v>46054</v>
      </c>
      <c r="S335" s="1">
        <v>46061</v>
      </c>
      <c r="T335" s="1">
        <v>46068</v>
      </c>
      <c r="U335" s="1">
        <v>46075</v>
      </c>
      <c r="V335" s="1">
        <v>46082</v>
      </c>
      <c r="W335" s="1">
        <v>46089</v>
      </c>
      <c r="X335" s="1">
        <v>46096</v>
      </c>
      <c r="Y335" s="1">
        <v>46103</v>
      </c>
    </row>
    <row r="336" spans="1:27" x14ac:dyDescent="0.3">
      <c r="A336" t="s">
        <v>58</v>
      </c>
      <c r="B336">
        <v>0.183374083129584</v>
      </c>
      <c r="C336">
        <v>0.21881838074398199</v>
      </c>
      <c r="D336">
        <v>0.38216560509554098</v>
      </c>
      <c r="E336">
        <v>0.44033465433729602</v>
      </c>
      <c r="F336">
        <v>0.97592713077423499</v>
      </c>
      <c r="G336">
        <v>1.6249153689911899</v>
      </c>
      <c r="H336">
        <v>0.85158150851581504</v>
      </c>
      <c r="I336">
        <v>0.93603744149765999</v>
      </c>
      <c r="J336">
        <v>1.28378378378378</v>
      </c>
      <c r="K336">
        <v>1.02339181286549</v>
      </c>
      <c r="L336">
        <v>0.96582466567607705</v>
      </c>
      <c r="M336">
        <v>0.54945054945054905</v>
      </c>
      <c r="N336">
        <v>1.38637733574442</v>
      </c>
      <c r="O336">
        <v>1.4383561643835601</v>
      </c>
      <c r="P336">
        <v>1.7052375152253301</v>
      </c>
      <c r="Q336">
        <v>0.91116173120728905</v>
      </c>
      <c r="R336">
        <v>0.96510764662212301</v>
      </c>
      <c r="S336">
        <v>0.82592121982210898</v>
      </c>
      <c r="T336">
        <v>0.78175895765472303</v>
      </c>
      <c r="U336">
        <v>0.70921985815602795</v>
      </c>
      <c r="V336">
        <v>0.65061808718282299</v>
      </c>
      <c r="W336">
        <v>0.25624599615631</v>
      </c>
      <c r="X336">
        <v>0.34674063800277299</v>
      </c>
      <c r="Y336">
        <v>0.13574660633484101</v>
      </c>
    </row>
    <row r="337" spans="1:28" x14ac:dyDescent="0.3">
      <c r="A337" t="s">
        <v>48</v>
      </c>
      <c r="B337">
        <v>3</v>
      </c>
      <c r="C337">
        <v>4</v>
      </c>
      <c r="D337">
        <v>7</v>
      </c>
      <c r="E337">
        <v>12</v>
      </c>
      <c r="F337">
        <v>16</v>
      </c>
      <c r="G337">
        <v>28</v>
      </c>
      <c r="H337">
        <v>14</v>
      </c>
      <c r="I337">
        <v>17</v>
      </c>
      <c r="J337">
        <v>22</v>
      </c>
      <c r="K337">
        <v>18</v>
      </c>
      <c r="L337">
        <v>14</v>
      </c>
      <c r="M337">
        <v>13</v>
      </c>
      <c r="N337">
        <v>28</v>
      </c>
      <c r="O337">
        <v>22</v>
      </c>
      <c r="P337">
        <v>28</v>
      </c>
      <c r="Q337">
        <v>21</v>
      </c>
      <c r="R337">
        <v>14</v>
      </c>
      <c r="S337">
        <v>13</v>
      </c>
      <c r="T337">
        <v>15</v>
      </c>
      <c r="U337">
        <v>15</v>
      </c>
      <c r="V337">
        <v>12</v>
      </c>
      <c r="W337">
        <v>4</v>
      </c>
      <c r="X337">
        <v>5</v>
      </c>
      <c r="Y337">
        <v>3</v>
      </c>
      <c r="Z337">
        <f>SUM(B337:Y337)</f>
        <v>348</v>
      </c>
      <c r="AA337">
        <f>Z337/Z338</f>
        <v>8.6352357320099264E-3</v>
      </c>
    </row>
    <row r="338" spans="1:28" x14ac:dyDescent="0.3">
      <c r="A338" t="s">
        <v>2</v>
      </c>
      <c r="B338">
        <v>1636</v>
      </c>
      <c r="C338">
        <v>1828</v>
      </c>
      <c r="D338">
        <v>1570</v>
      </c>
      <c r="E338">
        <v>2271</v>
      </c>
      <c r="F338">
        <v>1537</v>
      </c>
      <c r="G338">
        <v>1477</v>
      </c>
      <c r="H338">
        <v>1644</v>
      </c>
      <c r="I338">
        <v>1923</v>
      </c>
      <c r="J338">
        <v>1480</v>
      </c>
      <c r="K338">
        <v>1368</v>
      </c>
      <c r="L338">
        <v>1346</v>
      </c>
      <c r="M338">
        <v>2366</v>
      </c>
      <c r="N338">
        <v>1659</v>
      </c>
      <c r="O338">
        <v>1460</v>
      </c>
      <c r="P338">
        <v>1642</v>
      </c>
      <c r="Q338">
        <v>2195</v>
      </c>
      <c r="R338">
        <v>1347</v>
      </c>
      <c r="S338">
        <v>1574</v>
      </c>
      <c r="T338">
        <v>1535</v>
      </c>
      <c r="U338">
        <v>1692</v>
      </c>
      <c r="V338">
        <v>1537</v>
      </c>
      <c r="W338">
        <v>1561</v>
      </c>
      <c r="X338">
        <v>1442</v>
      </c>
      <c r="Y338">
        <v>2210</v>
      </c>
      <c r="Z338">
        <f>SUM(B338:Y338)</f>
        <v>40300</v>
      </c>
    </row>
    <row r="340" spans="1:28" x14ac:dyDescent="0.3">
      <c r="A340" t="s">
        <v>0</v>
      </c>
      <c r="B340" t="s">
        <v>74</v>
      </c>
      <c r="Y340" s="1"/>
    </row>
    <row r="341" spans="1:28" x14ac:dyDescent="0.3">
      <c r="A341" t="s">
        <v>3</v>
      </c>
      <c r="B341" s="1">
        <v>46296</v>
      </c>
      <c r="C341" s="1">
        <v>46303</v>
      </c>
      <c r="D341" s="1">
        <v>46310</v>
      </c>
      <c r="E341" s="1">
        <v>46317</v>
      </c>
      <c r="F341" s="1">
        <v>46327</v>
      </c>
      <c r="G341" s="1">
        <v>46334</v>
      </c>
      <c r="H341" s="1">
        <v>46341</v>
      </c>
      <c r="I341" s="1">
        <v>46348</v>
      </c>
      <c r="J341" s="1">
        <v>46357</v>
      </c>
      <c r="K341" s="1">
        <v>46364</v>
      </c>
      <c r="L341" s="1">
        <v>46371</v>
      </c>
      <c r="M341" s="1">
        <v>46378</v>
      </c>
      <c r="N341" s="1">
        <v>46023</v>
      </c>
      <c r="O341" s="1">
        <v>46030</v>
      </c>
      <c r="P341" s="1">
        <v>46037</v>
      </c>
      <c r="Q341" s="1">
        <v>46044</v>
      </c>
      <c r="R341" s="1">
        <v>46054</v>
      </c>
      <c r="S341" s="1">
        <v>46061</v>
      </c>
      <c r="T341" s="1">
        <v>46068</v>
      </c>
      <c r="U341" s="1">
        <v>46075</v>
      </c>
      <c r="V341" s="1">
        <v>46082</v>
      </c>
      <c r="W341" s="1">
        <v>46089</v>
      </c>
      <c r="X341" s="1">
        <v>46096</v>
      </c>
      <c r="Y341" s="1">
        <v>46103</v>
      </c>
    </row>
    <row r="342" spans="1:28" x14ac:dyDescent="0.3">
      <c r="A342" t="s">
        <v>58</v>
      </c>
      <c r="B342">
        <v>4.1972717733473199E-2</v>
      </c>
      <c r="C342">
        <v>0.116959064327485</v>
      </c>
      <c r="D342">
        <v>0.162132949018194</v>
      </c>
      <c r="E342">
        <v>0.21624219125420399</v>
      </c>
      <c r="F342">
        <v>0.35612535612535601</v>
      </c>
      <c r="G342">
        <v>0.29437229437229401</v>
      </c>
      <c r="H342">
        <v>0.372502539790044</v>
      </c>
      <c r="I342">
        <v>0.43760774433098998</v>
      </c>
      <c r="J342">
        <v>0.42147700201575899</v>
      </c>
      <c r="K342">
        <v>0.213882947695897</v>
      </c>
      <c r="L342">
        <v>0.45696877380045697</v>
      </c>
      <c r="M342">
        <v>0.67047702791822295</v>
      </c>
      <c r="N342">
        <v>0.39415339136147098</v>
      </c>
      <c r="O342">
        <v>0.67382990347841898</v>
      </c>
      <c r="P342">
        <v>0.47238372093023201</v>
      </c>
      <c r="Q342">
        <v>0.31205304901833297</v>
      </c>
      <c r="R342">
        <v>0.49691569568197302</v>
      </c>
      <c r="S342">
        <v>0.32757593805836799</v>
      </c>
      <c r="T342">
        <v>0.25668126226785398</v>
      </c>
      <c r="U342">
        <v>0.36565745209887301</v>
      </c>
      <c r="V342">
        <v>0.151438667339727</v>
      </c>
      <c r="W342">
        <v>0.17995321216483701</v>
      </c>
      <c r="X342">
        <v>0.12520121624038599</v>
      </c>
      <c r="Y342">
        <v>0.10540184453227899</v>
      </c>
    </row>
    <row r="343" spans="1:28" x14ac:dyDescent="0.3">
      <c r="A343" t="s">
        <v>48</v>
      </c>
      <c r="B343">
        <v>2</v>
      </c>
      <c r="C343">
        <v>7</v>
      </c>
      <c r="D343">
        <v>9</v>
      </c>
      <c r="E343">
        <v>18</v>
      </c>
      <c r="F343">
        <v>26</v>
      </c>
      <c r="G343">
        <v>16</v>
      </c>
      <c r="H343">
        <v>22</v>
      </c>
      <c r="I343">
        <v>34</v>
      </c>
      <c r="J343">
        <v>26</v>
      </c>
      <c r="K343">
        <v>10</v>
      </c>
      <c r="L343">
        <v>24</v>
      </c>
      <c r="M343">
        <v>56</v>
      </c>
      <c r="N343">
        <v>27</v>
      </c>
      <c r="O343">
        <v>34</v>
      </c>
      <c r="P343">
        <v>26</v>
      </c>
      <c r="Q343">
        <v>26</v>
      </c>
      <c r="R343">
        <v>32</v>
      </c>
      <c r="S343">
        <v>24</v>
      </c>
      <c r="T343">
        <v>17</v>
      </c>
      <c r="U343">
        <v>24</v>
      </c>
      <c r="V343">
        <v>13</v>
      </c>
      <c r="W343">
        <v>12</v>
      </c>
      <c r="X343">
        <v>8</v>
      </c>
      <c r="Y343">
        <v>7</v>
      </c>
      <c r="Z343">
        <v>500</v>
      </c>
      <c r="AA343">
        <f>Z343/Z344</f>
        <v>3.3050203258750042E-3</v>
      </c>
    </row>
    <row r="344" spans="1:28" x14ac:dyDescent="0.3">
      <c r="A344" t="s">
        <v>2</v>
      </c>
      <c r="B344">
        <v>4765</v>
      </c>
      <c r="C344">
        <v>5985</v>
      </c>
      <c r="D344">
        <v>5551</v>
      </c>
      <c r="E344">
        <v>8324</v>
      </c>
      <c r="F344">
        <v>7020</v>
      </c>
      <c r="G344">
        <v>5775</v>
      </c>
      <c r="H344">
        <v>5906</v>
      </c>
      <c r="I344">
        <v>7541</v>
      </c>
      <c r="J344">
        <v>5457</v>
      </c>
      <c r="K344">
        <v>5143</v>
      </c>
      <c r="L344">
        <v>5252</v>
      </c>
      <c r="M344">
        <v>9098</v>
      </c>
      <c r="N344">
        <v>6089</v>
      </c>
      <c r="O344">
        <v>5491</v>
      </c>
      <c r="P344">
        <v>5504</v>
      </c>
      <c r="Q344">
        <v>7691</v>
      </c>
      <c r="R344">
        <v>5836</v>
      </c>
      <c r="S344">
        <v>6716</v>
      </c>
      <c r="T344">
        <v>6623</v>
      </c>
      <c r="U344">
        <v>6837</v>
      </c>
      <c r="V344">
        <v>5943</v>
      </c>
      <c r="W344">
        <v>5557</v>
      </c>
      <c r="X344">
        <v>5591</v>
      </c>
      <c r="Y344">
        <v>7590</v>
      </c>
      <c r="Z344">
        <v>151285</v>
      </c>
    </row>
    <row r="345" spans="1:28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8" x14ac:dyDescent="0.3">
      <c r="A346" t="s">
        <v>0</v>
      </c>
      <c r="B346" t="s">
        <v>75</v>
      </c>
      <c r="AB346">
        <f>SUM(B344:Y344)</f>
        <v>151285</v>
      </c>
    </row>
    <row r="347" spans="1:28" x14ac:dyDescent="0.3">
      <c r="A347" t="s">
        <v>3</v>
      </c>
      <c r="B347" s="1">
        <v>46296</v>
      </c>
      <c r="C347" s="1">
        <v>46303</v>
      </c>
      <c r="D347" s="1">
        <v>46310</v>
      </c>
      <c r="E347" s="1">
        <v>46317</v>
      </c>
      <c r="F347" s="1">
        <v>46327</v>
      </c>
      <c r="G347" s="1">
        <v>46334</v>
      </c>
      <c r="H347" s="1">
        <v>46341</v>
      </c>
      <c r="I347" s="1">
        <v>46348</v>
      </c>
      <c r="J347" s="1">
        <v>46357</v>
      </c>
      <c r="K347" s="1">
        <v>46364</v>
      </c>
      <c r="L347" s="1">
        <v>46371</v>
      </c>
      <c r="M347" s="1">
        <v>46378</v>
      </c>
      <c r="N347" s="1">
        <v>46023</v>
      </c>
      <c r="O347" s="1">
        <v>46030</v>
      </c>
      <c r="P347" s="1">
        <v>46037</v>
      </c>
      <c r="Q347" s="1">
        <v>46044</v>
      </c>
      <c r="R347" s="1">
        <v>46054</v>
      </c>
      <c r="S347" s="1">
        <v>46061</v>
      </c>
      <c r="T347" s="1">
        <v>46068</v>
      </c>
      <c r="U347" s="1">
        <v>46075</v>
      </c>
      <c r="V347" s="1">
        <v>46082</v>
      </c>
      <c r="W347" s="1">
        <v>46089</v>
      </c>
      <c r="X347" s="1">
        <v>46096</v>
      </c>
      <c r="Y347" s="1">
        <v>46103</v>
      </c>
    </row>
    <row r="348" spans="1:28" x14ac:dyDescent="0.3">
      <c r="A348" t="s">
        <v>58</v>
      </c>
      <c r="B348">
        <v>16.6666666666666</v>
      </c>
      <c r="C348">
        <v>23.9669421487603</v>
      </c>
      <c r="D348">
        <v>40</v>
      </c>
      <c r="E348">
        <v>39.903846153846096</v>
      </c>
      <c r="F348">
        <v>35.5</v>
      </c>
      <c r="G348">
        <v>18.3760683760683</v>
      </c>
      <c r="H348">
        <v>22.2929936305732</v>
      </c>
      <c r="I348">
        <v>37.3333333333333</v>
      </c>
      <c r="J348">
        <v>23.3333333333333</v>
      </c>
      <c r="K348">
        <v>10</v>
      </c>
      <c r="L348">
        <v>0</v>
      </c>
      <c r="M348">
        <v>6</v>
      </c>
      <c r="N348">
        <v>9.5238095238095202</v>
      </c>
      <c r="O348">
        <v>21.428571428571399</v>
      </c>
      <c r="P348">
        <v>13.3333333333333</v>
      </c>
      <c r="Q348">
        <v>2.7397260273972601</v>
      </c>
      <c r="R348">
        <v>5.0847457627118597</v>
      </c>
      <c r="S348">
        <v>2.38095238095238</v>
      </c>
      <c r="T348">
        <v>16.129032258064498</v>
      </c>
      <c r="U348">
        <v>3.9370078740157401</v>
      </c>
      <c r="V348">
        <v>10.945273631840699</v>
      </c>
      <c r="W348">
        <v>18.656716417910399</v>
      </c>
      <c r="X348">
        <v>0</v>
      </c>
      <c r="Y348">
        <v>3.125</v>
      </c>
    </row>
    <row r="349" spans="1:28" x14ac:dyDescent="0.3">
      <c r="A349" t="s">
        <v>48</v>
      </c>
      <c r="B349">
        <v>5</v>
      </c>
      <c r="C349">
        <v>15</v>
      </c>
      <c r="D349">
        <v>35</v>
      </c>
      <c r="E349">
        <v>54</v>
      </c>
      <c r="F349">
        <v>51</v>
      </c>
      <c r="G349">
        <v>28</v>
      </c>
      <c r="H349">
        <v>24</v>
      </c>
      <c r="I349">
        <v>20</v>
      </c>
      <c r="J349">
        <v>1</v>
      </c>
      <c r="K349">
        <v>3</v>
      </c>
      <c r="L349">
        <v>0</v>
      </c>
      <c r="M349">
        <v>3</v>
      </c>
      <c r="N349">
        <v>3</v>
      </c>
      <c r="O349">
        <v>5</v>
      </c>
      <c r="P349">
        <v>2</v>
      </c>
      <c r="Q349">
        <v>1</v>
      </c>
      <c r="R349">
        <v>4</v>
      </c>
      <c r="S349">
        <v>2</v>
      </c>
      <c r="T349">
        <v>10</v>
      </c>
      <c r="U349">
        <v>12</v>
      </c>
      <c r="V349">
        <v>28</v>
      </c>
      <c r="W349">
        <v>24</v>
      </c>
      <c r="X349">
        <v>0</v>
      </c>
      <c r="Y349">
        <v>1</v>
      </c>
      <c r="Z349">
        <f>SUM(B349:Y349)</f>
        <v>331</v>
      </c>
      <c r="AA349">
        <f>Z349/Z350</f>
        <v>0.1425495262704565</v>
      </c>
    </row>
    <row r="350" spans="1:28" x14ac:dyDescent="0.3">
      <c r="A350" t="s">
        <v>2</v>
      </c>
      <c r="B350">
        <v>84</v>
      </c>
      <c r="C350">
        <v>121</v>
      </c>
      <c r="D350">
        <v>140</v>
      </c>
      <c r="E350">
        <v>208</v>
      </c>
      <c r="F350">
        <v>200</v>
      </c>
      <c r="G350">
        <v>234</v>
      </c>
      <c r="H350">
        <v>157</v>
      </c>
      <c r="I350">
        <v>75</v>
      </c>
      <c r="J350">
        <v>30</v>
      </c>
      <c r="K350">
        <v>30</v>
      </c>
      <c r="L350">
        <v>31</v>
      </c>
      <c r="M350">
        <v>50</v>
      </c>
      <c r="N350">
        <v>21</v>
      </c>
      <c r="O350">
        <v>14</v>
      </c>
      <c r="P350">
        <v>45</v>
      </c>
      <c r="Q350">
        <v>73</v>
      </c>
      <c r="R350">
        <v>59</v>
      </c>
      <c r="S350">
        <v>42</v>
      </c>
      <c r="T350">
        <v>62</v>
      </c>
      <c r="U350">
        <v>127</v>
      </c>
      <c r="V350">
        <v>201</v>
      </c>
      <c r="W350">
        <v>134</v>
      </c>
      <c r="X350">
        <v>56</v>
      </c>
      <c r="Y350">
        <v>128</v>
      </c>
      <c r="Z350">
        <f>SUM(B350:Y350)</f>
        <v>2322</v>
      </c>
    </row>
    <row r="352" spans="1:28" x14ac:dyDescent="0.3">
      <c r="A352" t="s">
        <v>0</v>
      </c>
      <c r="B352" t="s">
        <v>76</v>
      </c>
      <c r="Y352" s="1"/>
    </row>
    <row r="353" spans="1:27" x14ac:dyDescent="0.3">
      <c r="A353" t="s">
        <v>3</v>
      </c>
      <c r="B353" s="1">
        <v>46296</v>
      </c>
      <c r="C353" s="1">
        <v>46303</v>
      </c>
      <c r="D353" s="1">
        <v>46310</v>
      </c>
      <c r="E353" s="1">
        <v>46317</v>
      </c>
      <c r="F353" s="1">
        <v>46327</v>
      </c>
      <c r="G353" s="1">
        <v>46334</v>
      </c>
      <c r="H353" s="1">
        <v>46341</v>
      </c>
      <c r="I353" s="1">
        <v>46348</v>
      </c>
      <c r="J353" s="1">
        <v>46357</v>
      </c>
      <c r="K353" s="1">
        <v>46364</v>
      </c>
      <c r="L353" s="1">
        <v>46371</v>
      </c>
      <c r="M353" s="1">
        <v>46378</v>
      </c>
      <c r="N353" s="1">
        <v>46023</v>
      </c>
      <c r="O353" s="1">
        <v>46030</v>
      </c>
      <c r="P353" s="1">
        <v>46037</v>
      </c>
      <c r="Q353" s="1">
        <v>46044</v>
      </c>
      <c r="R353" s="1">
        <v>46054</v>
      </c>
      <c r="S353" s="1">
        <v>46061</v>
      </c>
      <c r="T353" s="1">
        <v>46068</v>
      </c>
      <c r="U353" s="1">
        <v>46075</v>
      </c>
      <c r="V353" s="1">
        <v>46082</v>
      </c>
      <c r="W353" s="1">
        <v>46089</v>
      </c>
      <c r="X353" s="1">
        <v>46096</v>
      </c>
      <c r="Y353" s="1">
        <v>46103</v>
      </c>
    </row>
    <row r="354" spans="1:27" x14ac:dyDescent="0.3">
      <c r="A354" t="s">
        <v>58</v>
      </c>
      <c r="B354">
        <v>3.42342342342342</v>
      </c>
      <c r="C354">
        <v>4.9315068493150598</v>
      </c>
      <c r="D354">
        <v>10.380622837370201</v>
      </c>
      <c r="E354">
        <v>8.4183673469387692</v>
      </c>
      <c r="F354">
        <v>7.8431372549019596</v>
      </c>
      <c r="G354">
        <v>7.0866141732283401</v>
      </c>
      <c r="H354">
        <v>2.1428571428571401</v>
      </c>
      <c r="I354">
        <v>6.2068965517241299</v>
      </c>
      <c r="J354">
        <v>4.3478260869565197</v>
      </c>
      <c r="K354">
        <v>6.4</v>
      </c>
      <c r="L354">
        <v>3.3898305084745699</v>
      </c>
      <c r="M354">
        <v>3.8251366120218502</v>
      </c>
      <c r="N354">
        <v>2.8571428571428501</v>
      </c>
      <c r="O354">
        <v>6.1224489795918302</v>
      </c>
      <c r="P354">
        <v>2.5423728813559299</v>
      </c>
      <c r="Q354">
        <v>4.0229885057471204</v>
      </c>
      <c r="R354">
        <v>5.8064516129032198</v>
      </c>
      <c r="S354">
        <v>6.9930069930069898</v>
      </c>
      <c r="T354">
        <v>1.3605442176870699</v>
      </c>
      <c r="U354">
        <v>0</v>
      </c>
      <c r="V354">
        <v>6.3559322033898296</v>
      </c>
      <c r="W354">
        <v>1.4184397163120499</v>
      </c>
      <c r="X354">
        <v>2.7397260273972601</v>
      </c>
      <c r="Y354">
        <v>2.8571428571428501</v>
      </c>
    </row>
    <row r="355" spans="1:27" x14ac:dyDescent="0.3">
      <c r="A355" t="s">
        <v>48</v>
      </c>
      <c r="B355">
        <v>24</v>
      </c>
      <c r="C355">
        <v>19</v>
      </c>
      <c r="D355">
        <v>37</v>
      </c>
      <c r="E355">
        <v>36</v>
      </c>
      <c r="F355">
        <v>16</v>
      </c>
      <c r="G355">
        <v>9</v>
      </c>
      <c r="H355">
        <v>6</v>
      </c>
      <c r="I355">
        <v>9</v>
      </c>
      <c r="J355">
        <v>7</v>
      </c>
      <c r="K355">
        <v>10</v>
      </c>
      <c r="L355">
        <v>4</v>
      </c>
      <c r="M355">
        <v>8</v>
      </c>
      <c r="N355">
        <v>6</v>
      </c>
      <c r="O355">
        <v>6</v>
      </c>
      <c r="P355">
        <v>7</v>
      </c>
      <c r="Q355">
        <v>7</v>
      </c>
      <c r="R355">
        <v>10</v>
      </c>
      <c r="S355">
        <v>10</v>
      </c>
      <c r="T355">
        <v>2</v>
      </c>
      <c r="U355">
        <v>0</v>
      </c>
      <c r="V355">
        <v>14</v>
      </c>
      <c r="W355">
        <v>4</v>
      </c>
      <c r="X355">
        <v>7</v>
      </c>
      <c r="Y355">
        <v>9</v>
      </c>
      <c r="Z355">
        <f>SUM(B355:Y355)</f>
        <v>267</v>
      </c>
      <c r="AA355">
        <f>Z355/Z356</f>
        <v>5.3722334004024146E-2</v>
      </c>
    </row>
    <row r="356" spans="1:27" x14ac:dyDescent="0.3">
      <c r="A356" t="s">
        <v>2</v>
      </c>
      <c r="B356">
        <v>555</v>
      </c>
      <c r="C356">
        <v>365</v>
      </c>
      <c r="D356">
        <v>289</v>
      </c>
      <c r="E356">
        <v>392</v>
      </c>
      <c r="F356">
        <v>204</v>
      </c>
      <c r="G356">
        <v>127</v>
      </c>
      <c r="H356">
        <v>140</v>
      </c>
      <c r="I356">
        <v>145</v>
      </c>
      <c r="J356">
        <v>138</v>
      </c>
      <c r="K356">
        <v>125</v>
      </c>
      <c r="L356">
        <v>118</v>
      </c>
      <c r="M356">
        <v>183</v>
      </c>
      <c r="N356">
        <v>140</v>
      </c>
      <c r="O356">
        <v>98</v>
      </c>
      <c r="P356">
        <v>118</v>
      </c>
      <c r="Q356">
        <v>174</v>
      </c>
      <c r="R356">
        <v>155</v>
      </c>
      <c r="S356">
        <v>143</v>
      </c>
      <c r="T356">
        <v>147</v>
      </c>
      <c r="U356">
        <v>127</v>
      </c>
      <c r="V356">
        <v>236</v>
      </c>
      <c r="W356">
        <v>282</v>
      </c>
      <c r="X356">
        <v>219</v>
      </c>
      <c r="Y356">
        <v>350</v>
      </c>
      <c r="Z356">
        <f>SUM(B356:Y356)</f>
        <v>4970</v>
      </c>
    </row>
    <row r="358" spans="1:27" x14ac:dyDescent="0.3">
      <c r="A358" t="s">
        <v>0</v>
      </c>
      <c r="B358" t="s">
        <v>77</v>
      </c>
    </row>
    <row r="359" spans="1:27" x14ac:dyDescent="0.3">
      <c r="A359" t="s">
        <v>3</v>
      </c>
      <c r="B359" s="1">
        <v>46296</v>
      </c>
      <c r="C359" s="1">
        <v>46303</v>
      </c>
      <c r="D359" s="1">
        <v>46310</v>
      </c>
      <c r="E359" s="1">
        <v>46317</v>
      </c>
      <c r="F359" s="1">
        <v>46327</v>
      </c>
      <c r="G359" s="1">
        <v>46334</v>
      </c>
      <c r="H359" s="1">
        <v>46341</v>
      </c>
      <c r="I359" s="1">
        <v>46348</v>
      </c>
      <c r="J359" s="1">
        <v>46357</v>
      </c>
      <c r="K359" s="1">
        <v>46364</v>
      </c>
      <c r="L359" s="1">
        <v>46371</v>
      </c>
      <c r="M359" s="1">
        <v>46378</v>
      </c>
      <c r="N359" s="1">
        <v>46023</v>
      </c>
      <c r="O359" s="1">
        <v>46030</v>
      </c>
      <c r="P359" s="1">
        <v>46037</v>
      </c>
      <c r="Q359" s="1">
        <v>46044</v>
      </c>
      <c r="R359" s="1">
        <v>46054</v>
      </c>
      <c r="S359" s="1">
        <v>46061</v>
      </c>
      <c r="T359" s="1">
        <v>46068</v>
      </c>
      <c r="U359" s="1">
        <v>46075</v>
      </c>
      <c r="V359" s="1">
        <v>46082</v>
      </c>
      <c r="W359" s="1">
        <v>46089</v>
      </c>
      <c r="X359" s="1">
        <v>46096</v>
      </c>
      <c r="Y359" s="1">
        <v>46103</v>
      </c>
    </row>
    <row r="360" spans="1:27" x14ac:dyDescent="0.3">
      <c r="A360" t="s">
        <v>58</v>
      </c>
      <c r="B360">
        <v>0.22379709063782099</v>
      </c>
      <c r="C360">
        <v>0.68403908794788204</v>
      </c>
      <c r="D360">
        <v>1.2263099219620901</v>
      </c>
      <c r="E360">
        <v>2.9971181556195901</v>
      </c>
      <c r="F360">
        <v>2.7001862197392899</v>
      </c>
      <c r="G360">
        <v>2.2178413011335598</v>
      </c>
      <c r="H360">
        <v>2.5755879059350502</v>
      </c>
      <c r="I360">
        <v>2.2136669874879602</v>
      </c>
      <c r="J360">
        <v>2.1419828641370802</v>
      </c>
      <c r="K360">
        <v>1.2345679012345601</v>
      </c>
      <c r="L360">
        <v>2.1952628538417098</v>
      </c>
      <c r="M360">
        <v>2.1606196494088801</v>
      </c>
      <c r="N360">
        <v>1.70428374021188</v>
      </c>
      <c r="O360">
        <v>2.2501308215593898</v>
      </c>
      <c r="P360">
        <v>2.5990099009900902</v>
      </c>
      <c r="Q360">
        <v>2.29954614220877</v>
      </c>
      <c r="R360">
        <v>1.9670631290027401</v>
      </c>
      <c r="S360">
        <v>2.1647307286166799</v>
      </c>
      <c r="T360">
        <v>1.5045674368619</v>
      </c>
      <c r="U360">
        <v>1.0159651669085601</v>
      </c>
      <c r="V360">
        <v>0.95541401273885296</v>
      </c>
      <c r="W360">
        <v>1.28577353795105</v>
      </c>
      <c r="X360">
        <v>1.30118637581324</v>
      </c>
      <c r="Y360">
        <v>1.39064475347661</v>
      </c>
    </row>
    <row r="361" spans="1:27" x14ac:dyDescent="0.3">
      <c r="A361" t="s">
        <v>48</v>
      </c>
      <c r="B361">
        <v>11</v>
      </c>
      <c r="C361">
        <v>21</v>
      </c>
      <c r="D361">
        <v>37</v>
      </c>
      <c r="E361">
        <v>105</v>
      </c>
      <c r="F361">
        <v>60</v>
      </c>
      <c r="G361">
        <v>46</v>
      </c>
      <c r="H361">
        <v>47</v>
      </c>
      <c r="I361">
        <v>49</v>
      </c>
      <c r="J361">
        <v>34</v>
      </c>
      <c r="K361">
        <v>24</v>
      </c>
      <c r="L361">
        <v>43</v>
      </c>
      <c r="M361">
        <v>55</v>
      </c>
      <c r="N361">
        <v>41</v>
      </c>
      <c r="O361">
        <v>44</v>
      </c>
      <c r="P361">
        <v>64</v>
      </c>
      <c r="Q361">
        <v>73</v>
      </c>
      <c r="R361">
        <v>50</v>
      </c>
      <c r="S361">
        <v>43</v>
      </c>
      <c r="T361">
        <v>34</v>
      </c>
      <c r="U361">
        <v>21</v>
      </c>
      <c r="V361">
        <v>26</v>
      </c>
      <c r="W361">
        <v>36</v>
      </c>
      <c r="X361">
        <v>35</v>
      </c>
      <c r="Y361">
        <v>64</v>
      </c>
      <c r="Z361">
        <f>SUM(B361:Y361)</f>
        <v>1063</v>
      </c>
      <c r="AA361">
        <f>Z361/Z362</f>
        <v>1.8591066494106124E-2</v>
      </c>
    </row>
    <row r="362" spans="1:27" x14ac:dyDescent="0.3">
      <c r="A362" t="s">
        <v>2</v>
      </c>
      <c r="B362">
        <v>2681</v>
      </c>
      <c r="C362">
        <v>3070</v>
      </c>
      <c r="D362">
        <v>2691</v>
      </c>
      <c r="E362">
        <v>3470</v>
      </c>
      <c r="F362">
        <v>2148</v>
      </c>
      <c r="G362">
        <v>2029</v>
      </c>
      <c r="H362">
        <v>1786</v>
      </c>
      <c r="I362">
        <v>2078</v>
      </c>
      <c r="J362">
        <v>1634</v>
      </c>
      <c r="K362">
        <v>1620</v>
      </c>
      <c r="L362">
        <v>1731</v>
      </c>
      <c r="M362">
        <v>2453</v>
      </c>
      <c r="N362">
        <v>2171</v>
      </c>
      <c r="O362">
        <v>1911</v>
      </c>
      <c r="P362">
        <v>2424</v>
      </c>
      <c r="Q362">
        <v>3305</v>
      </c>
      <c r="R362">
        <v>2186</v>
      </c>
      <c r="S362">
        <v>1894</v>
      </c>
      <c r="T362">
        <v>1861</v>
      </c>
      <c r="U362">
        <v>2067</v>
      </c>
      <c r="V362">
        <v>2198</v>
      </c>
      <c r="W362">
        <v>2411</v>
      </c>
      <c r="X362">
        <v>2613</v>
      </c>
      <c r="Y362">
        <v>4746</v>
      </c>
      <c r="Z362">
        <f>SUM(B362:Y362)</f>
        <v>57178</v>
      </c>
    </row>
    <row r="364" spans="1:27" x14ac:dyDescent="0.3">
      <c r="A364" t="s">
        <v>0</v>
      </c>
      <c r="B364" t="s">
        <v>78</v>
      </c>
      <c r="Y364" s="1"/>
    </row>
    <row r="365" spans="1:27" x14ac:dyDescent="0.3">
      <c r="A365" t="s">
        <v>3</v>
      </c>
      <c r="B365" s="1">
        <v>46296</v>
      </c>
      <c r="C365" s="1">
        <v>46303</v>
      </c>
      <c r="D365" s="1">
        <v>46310</v>
      </c>
      <c r="E365" s="1">
        <v>46317</v>
      </c>
      <c r="F365" s="1">
        <v>46327</v>
      </c>
      <c r="G365" s="1">
        <v>46334</v>
      </c>
      <c r="H365" s="1">
        <v>46341</v>
      </c>
      <c r="I365" s="1">
        <v>46348</v>
      </c>
      <c r="J365" s="1">
        <v>46357</v>
      </c>
      <c r="K365" s="1">
        <v>46364</v>
      </c>
      <c r="L365" s="1">
        <v>46371</v>
      </c>
      <c r="M365" s="1">
        <v>46378</v>
      </c>
      <c r="N365" s="1">
        <v>46023</v>
      </c>
      <c r="O365" s="1">
        <v>46030</v>
      </c>
      <c r="P365" s="1">
        <v>46037</v>
      </c>
      <c r="Q365" s="1">
        <v>46044</v>
      </c>
      <c r="R365" s="1">
        <v>46054</v>
      </c>
      <c r="S365" s="1">
        <v>46061</v>
      </c>
      <c r="T365" s="1">
        <v>46068</v>
      </c>
      <c r="U365" s="1">
        <v>46075</v>
      </c>
      <c r="V365" s="1">
        <v>46082</v>
      </c>
      <c r="W365" s="1">
        <v>46089</v>
      </c>
      <c r="X365" s="1">
        <v>46096</v>
      </c>
      <c r="Y365" s="1">
        <v>46103</v>
      </c>
    </row>
    <row r="366" spans="1:27" x14ac:dyDescent="0.3">
      <c r="A366" t="s">
        <v>58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7" x14ac:dyDescent="0.3">
      <c r="A367" t="s">
        <v>48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f>SUM(B367:Y367)</f>
        <v>0</v>
      </c>
      <c r="AA367">
        <f>Z367/Z368</f>
        <v>0</v>
      </c>
    </row>
    <row r="368" spans="1:27" x14ac:dyDescent="0.3">
      <c r="A368" t="s">
        <v>2</v>
      </c>
      <c r="B368">
        <v>1</v>
      </c>
      <c r="C368">
        <v>5</v>
      </c>
      <c r="D368">
        <v>6</v>
      </c>
      <c r="E368">
        <v>1</v>
      </c>
      <c r="F368">
        <v>3</v>
      </c>
      <c r="G368">
        <v>0</v>
      </c>
      <c r="H368">
        <v>2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</v>
      </c>
      <c r="V368">
        <v>0</v>
      </c>
      <c r="W368">
        <v>0</v>
      </c>
      <c r="X368">
        <v>0</v>
      </c>
      <c r="Y368">
        <v>3</v>
      </c>
      <c r="Z368">
        <f>SUM(B368:Y368)</f>
        <v>26</v>
      </c>
    </row>
    <row r="370" spans="1:27" x14ac:dyDescent="0.3">
      <c r="A370" t="s">
        <v>0</v>
      </c>
      <c r="B370" t="s">
        <v>79</v>
      </c>
      <c r="Y370" s="1"/>
    </row>
    <row r="371" spans="1:27" x14ac:dyDescent="0.3">
      <c r="A371" t="s">
        <v>3</v>
      </c>
      <c r="B371" s="1">
        <v>46296</v>
      </c>
      <c r="C371" s="1">
        <v>46303</v>
      </c>
      <c r="D371" s="1">
        <v>46310</v>
      </c>
      <c r="E371" s="1">
        <v>46317</v>
      </c>
      <c r="F371" s="1">
        <v>46327</v>
      </c>
      <c r="G371" s="1">
        <v>46334</v>
      </c>
      <c r="H371" s="1">
        <v>46341</v>
      </c>
      <c r="I371" s="1">
        <v>46348</v>
      </c>
      <c r="J371" s="1">
        <v>46357</v>
      </c>
      <c r="K371" s="1">
        <v>46364</v>
      </c>
      <c r="L371" s="1">
        <v>46371</v>
      </c>
      <c r="M371" s="1">
        <v>46378</v>
      </c>
      <c r="N371" s="1">
        <v>46023</v>
      </c>
      <c r="O371" s="1">
        <v>46030</v>
      </c>
      <c r="P371" s="1">
        <v>46037</v>
      </c>
      <c r="Q371" s="1">
        <v>46044</v>
      </c>
      <c r="R371" s="1">
        <v>46054</v>
      </c>
      <c r="S371" s="1">
        <v>46061</v>
      </c>
      <c r="T371" s="1">
        <v>46068</v>
      </c>
      <c r="U371" s="1">
        <v>46075</v>
      </c>
      <c r="V371" s="1">
        <v>46082</v>
      </c>
      <c r="W371" s="1">
        <v>46089</v>
      </c>
      <c r="X371" s="1">
        <v>46096</v>
      </c>
      <c r="Y371" s="1">
        <v>46103</v>
      </c>
    </row>
    <row r="372" spans="1:27" x14ac:dyDescent="0.3">
      <c r="A372" t="s">
        <v>58</v>
      </c>
      <c r="B372">
        <v>0</v>
      </c>
      <c r="C372">
        <v>0.66225165562913901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1.2345679012345601</v>
      </c>
      <c r="J372">
        <v>1.8518518518518501</v>
      </c>
      <c r="K372">
        <v>2.2727272727272698</v>
      </c>
      <c r="L372">
        <v>0</v>
      </c>
      <c r="M372">
        <v>3.63636363636363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1.40845070422535</v>
      </c>
      <c r="T372">
        <v>0</v>
      </c>
      <c r="U372">
        <v>1.16279069767441</v>
      </c>
      <c r="V372">
        <v>0</v>
      </c>
      <c r="W372">
        <v>1.8018018018018001</v>
      </c>
      <c r="X372">
        <v>0</v>
      </c>
      <c r="Y372">
        <v>0</v>
      </c>
    </row>
    <row r="373" spans="1:27" x14ac:dyDescent="0.3">
      <c r="A373" t="s">
        <v>48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</v>
      </c>
      <c r="K373">
        <v>1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1</v>
      </c>
      <c r="V373">
        <v>0</v>
      </c>
      <c r="W373">
        <v>2</v>
      </c>
      <c r="X373">
        <v>0</v>
      </c>
      <c r="Y373">
        <v>0</v>
      </c>
      <c r="Z373">
        <f>SUM(B373:Y373)</f>
        <v>10</v>
      </c>
      <c r="AA373">
        <f>Z373/Z374</f>
        <v>5.0327126321087065E-3</v>
      </c>
    </row>
    <row r="374" spans="1:27" x14ac:dyDescent="0.3">
      <c r="A374" t="s">
        <v>2</v>
      </c>
      <c r="B374">
        <v>170</v>
      </c>
      <c r="C374">
        <v>151</v>
      </c>
      <c r="D374">
        <v>85</v>
      </c>
      <c r="E374">
        <v>104</v>
      </c>
      <c r="F374">
        <v>84</v>
      </c>
      <c r="G374">
        <v>85</v>
      </c>
      <c r="H374">
        <v>88</v>
      </c>
      <c r="I374">
        <v>81</v>
      </c>
      <c r="J374">
        <v>54</v>
      </c>
      <c r="K374">
        <v>44</v>
      </c>
      <c r="L374">
        <v>57</v>
      </c>
      <c r="M374">
        <v>55</v>
      </c>
      <c r="N374">
        <v>57</v>
      </c>
      <c r="O374">
        <v>41</v>
      </c>
      <c r="P374">
        <v>38</v>
      </c>
      <c r="Q374">
        <v>53</v>
      </c>
      <c r="R374">
        <v>47</v>
      </c>
      <c r="S374">
        <v>71</v>
      </c>
      <c r="T374">
        <v>55</v>
      </c>
      <c r="U374">
        <v>86</v>
      </c>
      <c r="V374">
        <v>89</v>
      </c>
      <c r="W374">
        <v>111</v>
      </c>
      <c r="X374">
        <v>98</v>
      </c>
      <c r="Y374">
        <v>183</v>
      </c>
      <c r="Z374">
        <f>SUM(B374:Y374)</f>
        <v>1987</v>
      </c>
    </row>
    <row r="375" spans="1:27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7" x14ac:dyDescent="0.3">
      <c r="A376" t="s">
        <v>0</v>
      </c>
      <c r="B376" t="s">
        <v>80</v>
      </c>
    </row>
    <row r="377" spans="1:27" x14ac:dyDescent="0.3">
      <c r="A377" t="s">
        <v>3</v>
      </c>
      <c r="B377" s="1">
        <v>46296</v>
      </c>
      <c r="C377" s="1">
        <v>46303</v>
      </c>
      <c r="D377" s="1">
        <v>46310</v>
      </c>
      <c r="E377" s="1">
        <v>46317</v>
      </c>
      <c r="F377" s="1">
        <v>46327</v>
      </c>
      <c r="G377" s="1">
        <v>46334</v>
      </c>
      <c r="H377" s="1">
        <v>46341</v>
      </c>
      <c r="I377" s="1">
        <v>46348</v>
      </c>
      <c r="J377" s="1">
        <v>46357</v>
      </c>
      <c r="K377" s="1">
        <v>46364</v>
      </c>
      <c r="L377" s="1">
        <v>46371</v>
      </c>
      <c r="M377" s="1">
        <v>46378</v>
      </c>
      <c r="N377" s="1">
        <v>46023</v>
      </c>
      <c r="O377" s="1">
        <v>46030</v>
      </c>
      <c r="P377" s="1">
        <v>46037</v>
      </c>
      <c r="Q377" s="1">
        <v>46044</v>
      </c>
      <c r="R377" s="1">
        <v>46054</v>
      </c>
      <c r="S377" s="1">
        <v>46061</v>
      </c>
      <c r="T377" s="1">
        <v>46068</v>
      </c>
      <c r="U377" s="1">
        <v>46075</v>
      </c>
      <c r="V377" s="1">
        <v>46082</v>
      </c>
      <c r="W377" s="1">
        <v>46089</v>
      </c>
      <c r="X377" s="1">
        <v>46096</v>
      </c>
      <c r="Y377" s="1">
        <v>46103</v>
      </c>
    </row>
    <row r="378" spans="1:27" x14ac:dyDescent="0.3">
      <c r="A378" t="s">
        <v>58</v>
      </c>
      <c r="B378">
        <v>5.4990376684080203E-2</v>
      </c>
      <c r="C378">
        <v>2.8810141169691699E-2</v>
      </c>
      <c r="D378">
        <v>0.33774275260343301</v>
      </c>
      <c r="E378">
        <v>1.04354806341561</v>
      </c>
      <c r="F378">
        <v>1.2878991145693499</v>
      </c>
      <c r="G378">
        <v>1.32075471698113</v>
      </c>
      <c r="H378">
        <v>1.74136454467599</v>
      </c>
      <c r="I378">
        <v>1.9073569482288799</v>
      </c>
      <c r="J378">
        <v>2.01166180758017</v>
      </c>
      <c r="K378">
        <v>1.6732283464566899</v>
      </c>
      <c r="L378">
        <v>1.01419878296146</v>
      </c>
      <c r="M378">
        <v>1.15736040609137</v>
      </c>
      <c r="N378">
        <v>0.66437571592210698</v>
      </c>
      <c r="O378">
        <v>1.02275632830478</v>
      </c>
      <c r="P378">
        <v>0.42643923240938097</v>
      </c>
      <c r="Q378">
        <v>0.29951329090228301</v>
      </c>
      <c r="R378">
        <v>0.86580086580086502</v>
      </c>
      <c r="S378">
        <v>0.72608913370054995</v>
      </c>
      <c r="T378">
        <v>0.43870967741935402</v>
      </c>
      <c r="U378">
        <v>0.25961765400047199</v>
      </c>
      <c r="V378">
        <v>0.28523888756833798</v>
      </c>
      <c r="W378">
        <v>6.4766839378238295E-2</v>
      </c>
      <c r="X378">
        <v>0.28469750889679701</v>
      </c>
      <c r="Y378">
        <v>0.116584086272223</v>
      </c>
    </row>
    <row r="379" spans="1:27" x14ac:dyDescent="0.3">
      <c r="A379" t="s">
        <v>48</v>
      </c>
      <c r="B379">
        <v>3</v>
      </c>
      <c r="C379">
        <v>3</v>
      </c>
      <c r="D379">
        <v>15</v>
      </c>
      <c r="E379">
        <v>64</v>
      </c>
      <c r="F379">
        <v>63</v>
      </c>
      <c r="G379">
        <v>66</v>
      </c>
      <c r="H379">
        <v>76</v>
      </c>
      <c r="I379">
        <v>99</v>
      </c>
      <c r="J379">
        <v>78</v>
      </c>
      <c r="K379">
        <v>58</v>
      </c>
      <c r="L379">
        <v>48</v>
      </c>
      <c r="M379">
        <v>74</v>
      </c>
      <c r="N379">
        <v>39</v>
      </c>
      <c r="O379">
        <v>48</v>
      </c>
      <c r="P379">
        <v>46</v>
      </c>
      <c r="Q379">
        <v>38</v>
      </c>
      <c r="R379">
        <v>44</v>
      </c>
      <c r="S379">
        <v>35</v>
      </c>
      <c r="T379">
        <v>20</v>
      </c>
      <c r="U379">
        <v>13</v>
      </c>
      <c r="V379">
        <v>21</v>
      </c>
      <c r="W379">
        <v>4</v>
      </c>
      <c r="X379">
        <v>17</v>
      </c>
      <c r="Y379">
        <v>22</v>
      </c>
      <c r="Z379">
        <f>SUM(B379:Y379)</f>
        <v>994</v>
      </c>
      <c r="AA379">
        <f>Z379/Z380</f>
        <v>8.8079182653540439E-3</v>
      </c>
    </row>
    <row r="380" spans="1:27" x14ac:dyDescent="0.3">
      <c r="A380" t="s">
        <v>2</v>
      </c>
      <c r="B380">
        <v>3637</v>
      </c>
      <c r="C380">
        <v>3471</v>
      </c>
      <c r="D380">
        <v>3553</v>
      </c>
      <c r="E380">
        <v>4983</v>
      </c>
      <c r="F380">
        <v>3727</v>
      </c>
      <c r="G380">
        <v>3710</v>
      </c>
      <c r="H380">
        <v>3503</v>
      </c>
      <c r="I380">
        <v>4404</v>
      </c>
      <c r="J380">
        <v>3430</v>
      </c>
      <c r="K380">
        <v>3048</v>
      </c>
      <c r="L380">
        <v>3451</v>
      </c>
      <c r="M380">
        <v>4925</v>
      </c>
      <c r="N380">
        <v>4365</v>
      </c>
      <c r="O380">
        <v>3911</v>
      </c>
      <c r="P380">
        <v>7035</v>
      </c>
      <c r="Q380">
        <v>10684</v>
      </c>
      <c r="R380">
        <v>4158</v>
      </c>
      <c r="S380">
        <v>3994</v>
      </c>
      <c r="T380">
        <v>3875</v>
      </c>
      <c r="U380">
        <v>4237</v>
      </c>
      <c r="V380">
        <v>4207</v>
      </c>
      <c r="W380">
        <v>4632</v>
      </c>
      <c r="X380">
        <v>5620</v>
      </c>
      <c r="Y380">
        <v>10293</v>
      </c>
      <c r="Z380">
        <f>SUM(B380:Y380)</f>
        <v>112853</v>
      </c>
    </row>
    <row r="382" spans="1:27" x14ac:dyDescent="0.3">
      <c r="A382" t="s">
        <v>0</v>
      </c>
      <c r="B382" t="s">
        <v>81</v>
      </c>
      <c r="Y382" s="1"/>
    </row>
    <row r="383" spans="1:27" x14ac:dyDescent="0.3">
      <c r="A383" t="s">
        <v>3</v>
      </c>
      <c r="B383" s="1">
        <v>46296</v>
      </c>
      <c r="C383" s="1">
        <v>46303</v>
      </c>
      <c r="D383" s="1">
        <v>46310</v>
      </c>
      <c r="E383" s="1">
        <v>46317</v>
      </c>
      <c r="F383" s="1">
        <v>46327</v>
      </c>
      <c r="G383" s="1">
        <v>46334</v>
      </c>
      <c r="H383" s="1">
        <v>46341</v>
      </c>
      <c r="I383" s="1">
        <v>46348</v>
      </c>
      <c r="J383" s="1">
        <v>46357</v>
      </c>
      <c r="K383" s="1">
        <v>46364</v>
      </c>
      <c r="L383" s="1">
        <v>46371</v>
      </c>
      <c r="M383" s="1">
        <v>46378</v>
      </c>
      <c r="N383" s="1">
        <v>46023</v>
      </c>
      <c r="O383" s="1">
        <v>46030</v>
      </c>
      <c r="P383" s="1">
        <v>46037</v>
      </c>
      <c r="Q383" s="1">
        <v>46044</v>
      </c>
      <c r="R383" s="1">
        <v>46054</v>
      </c>
      <c r="S383" s="1">
        <v>46061</v>
      </c>
      <c r="T383" s="1">
        <v>46068</v>
      </c>
      <c r="U383" s="1">
        <v>46075</v>
      </c>
      <c r="V383" s="1">
        <v>46082</v>
      </c>
      <c r="W383" s="1">
        <v>46089</v>
      </c>
      <c r="X383" s="1">
        <v>46096</v>
      </c>
      <c r="Y383" s="1">
        <v>46103</v>
      </c>
    </row>
    <row r="384" spans="1:27" x14ac:dyDescent="0.3">
      <c r="A384" t="s">
        <v>58</v>
      </c>
      <c r="B384">
        <v>0</v>
      </c>
      <c r="C384">
        <v>0</v>
      </c>
      <c r="D384">
        <v>0</v>
      </c>
      <c r="E384">
        <v>0</v>
      </c>
      <c r="F384">
        <v>0.338983050847457</v>
      </c>
      <c r="G384">
        <v>0</v>
      </c>
      <c r="H384">
        <v>0</v>
      </c>
      <c r="I384">
        <v>0.98765432098765404</v>
      </c>
      <c r="J384">
        <v>0.35971223021582699</v>
      </c>
      <c r="K384">
        <v>0</v>
      </c>
      <c r="L384">
        <v>0</v>
      </c>
      <c r="M384">
        <v>0</v>
      </c>
      <c r="N384">
        <v>0.61162079510703304</v>
      </c>
      <c r="O384">
        <v>0.32679738562091498</v>
      </c>
      <c r="P384">
        <v>0</v>
      </c>
      <c r="Q384">
        <v>0.31446540880503099</v>
      </c>
      <c r="R384">
        <v>0.30487804878048702</v>
      </c>
      <c r="S384">
        <v>0.86705202312138696</v>
      </c>
      <c r="T384">
        <v>0.27397260273972601</v>
      </c>
      <c r="U384">
        <v>0.23584905660377301</v>
      </c>
      <c r="V384">
        <v>0.44642857142857101</v>
      </c>
      <c r="W384">
        <v>0.20833333333333301</v>
      </c>
      <c r="X384">
        <v>0</v>
      </c>
      <c r="Y384">
        <v>0</v>
      </c>
    </row>
    <row r="385" spans="1:27" x14ac:dyDescent="0.3">
      <c r="A385" t="s">
        <v>48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0</v>
      </c>
      <c r="H385">
        <v>0</v>
      </c>
      <c r="I385">
        <v>5</v>
      </c>
      <c r="J385">
        <v>1</v>
      </c>
      <c r="K385">
        <v>2</v>
      </c>
      <c r="L385">
        <v>0</v>
      </c>
      <c r="M385">
        <v>0</v>
      </c>
      <c r="N385">
        <v>2</v>
      </c>
      <c r="O385">
        <v>3</v>
      </c>
      <c r="P385">
        <v>0</v>
      </c>
      <c r="Q385">
        <v>3</v>
      </c>
      <c r="R385">
        <v>1</v>
      </c>
      <c r="S385">
        <v>3</v>
      </c>
      <c r="T385">
        <v>1</v>
      </c>
      <c r="U385">
        <v>1</v>
      </c>
      <c r="V385">
        <v>2</v>
      </c>
      <c r="W385">
        <v>1</v>
      </c>
      <c r="X385">
        <v>0</v>
      </c>
      <c r="Y385">
        <v>0</v>
      </c>
      <c r="Z385">
        <f>SUM(B385:Y385)</f>
        <v>28</v>
      </c>
      <c r="AA385">
        <f>Z385/Z386</f>
        <v>3.0786146234194614E-3</v>
      </c>
    </row>
    <row r="386" spans="1:27" x14ac:dyDescent="0.3">
      <c r="A386" t="s">
        <v>2</v>
      </c>
      <c r="B386">
        <v>316</v>
      </c>
      <c r="C386">
        <v>284</v>
      </c>
      <c r="D386">
        <v>308</v>
      </c>
      <c r="E386">
        <v>396</v>
      </c>
      <c r="F386">
        <v>295</v>
      </c>
      <c r="G386">
        <v>360</v>
      </c>
      <c r="H386">
        <v>314</v>
      </c>
      <c r="I386">
        <v>405</v>
      </c>
      <c r="J386">
        <v>278</v>
      </c>
      <c r="K386">
        <v>266</v>
      </c>
      <c r="L386">
        <v>268</v>
      </c>
      <c r="M386">
        <v>377</v>
      </c>
      <c r="N386">
        <v>327</v>
      </c>
      <c r="O386">
        <v>306</v>
      </c>
      <c r="P386">
        <v>440</v>
      </c>
      <c r="Q386">
        <v>636</v>
      </c>
      <c r="R386">
        <v>328</v>
      </c>
      <c r="S386">
        <v>346</v>
      </c>
      <c r="T386">
        <v>365</v>
      </c>
      <c r="U386">
        <v>424</v>
      </c>
      <c r="V386">
        <v>448</v>
      </c>
      <c r="W386">
        <v>480</v>
      </c>
      <c r="X386">
        <v>494</v>
      </c>
      <c r="Y386">
        <v>634</v>
      </c>
      <c r="Z386">
        <f>SUM(B386:Y386)</f>
        <v>9095</v>
      </c>
    </row>
    <row r="387" spans="1:27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7" x14ac:dyDescent="0.3">
      <c r="A388" t="s">
        <v>0</v>
      </c>
      <c r="B388" t="s">
        <v>82</v>
      </c>
    </row>
    <row r="389" spans="1:27" x14ac:dyDescent="0.3">
      <c r="A389" t="s">
        <v>3</v>
      </c>
      <c r="B389" s="1">
        <v>46296</v>
      </c>
      <c r="C389" s="1">
        <v>46303</v>
      </c>
      <c r="D389" s="1">
        <v>46310</v>
      </c>
      <c r="E389" s="1">
        <v>46317</v>
      </c>
      <c r="F389" s="1">
        <v>46327</v>
      </c>
      <c r="G389" s="1">
        <v>46334</v>
      </c>
      <c r="H389" s="1">
        <v>46341</v>
      </c>
      <c r="I389" s="1">
        <v>46348</v>
      </c>
      <c r="J389" s="1">
        <v>46357</v>
      </c>
      <c r="K389" s="1">
        <v>46364</v>
      </c>
      <c r="L389" s="1">
        <v>46371</v>
      </c>
      <c r="M389" s="1">
        <v>46378</v>
      </c>
      <c r="N389" s="1">
        <v>46023</v>
      </c>
      <c r="O389" s="1">
        <v>46030</v>
      </c>
      <c r="P389" s="1">
        <v>46037</v>
      </c>
      <c r="Q389" s="1">
        <v>46044</v>
      </c>
      <c r="R389" s="1">
        <v>46054</v>
      </c>
      <c r="S389" s="1">
        <v>46061</v>
      </c>
      <c r="T389" s="1">
        <v>46068</v>
      </c>
      <c r="U389" s="1">
        <v>46075</v>
      </c>
      <c r="V389" s="1">
        <v>46082</v>
      </c>
      <c r="W389" s="1">
        <v>46089</v>
      </c>
      <c r="X389" s="1">
        <v>46096</v>
      </c>
      <c r="Y389" s="1">
        <v>46103</v>
      </c>
    </row>
    <row r="390" spans="1:27" x14ac:dyDescent="0.3">
      <c r="A390" t="s">
        <v>58</v>
      </c>
      <c r="B390">
        <v>0.29850746268656703</v>
      </c>
      <c r="C390">
        <v>0</v>
      </c>
      <c r="D390">
        <v>0</v>
      </c>
      <c r="E390">
        <v>0</v>
      </c>
      <c r="F390">
        <v>0.80645161290322498</v>
      </c>
      <c r="G390">
        <v>0</v>
      </c>
      <c r="H390">
        <v>0.69444444444444398</v>
      </c>
      <c r="I390">
        <v>0</v>
      </c>
      <c r="J390">
        <v>0.70921985815602795</v>
      </c>
      <c r="K390">
        <v>0</v>
      </c>
      <c r="L390">
        <v>0</v>
      </c>
      <c r="M390">
        <v>0.56818181818181801</v>
      </c>
      <c r="N390">
        <v>0</v>
      </c>
      <c r="O390">
        <v>0</v>
      </c>
      <c r="P390">
        <v>0.96153846153846101</v>
      </c>
      <c r="Q390">
        <v>0.59171597633136097</v>
      </c>
      <c r="R390">
        <v>0.68027210884353695</v>
      </c>
      <c r="S390">
        <v>0.54644808743169404</v>
      </c>
      <c r="T390">
        <v>1.13636363636363</v>
      </c>
      <c r="U390">
        <v>0.40816326530612201</v>
      </c>
      <c r="V390">
        <v>0.39840637450199201</v>
      </c>
      <c r="W390">
        <v>0</v>
      </c>
      <c r="X390">
        <v>0</v>
      </c>
      <c r="Y390">
        <v>0.35714285714285698</v>
      </c>
    </row>
    <row r="391" spans="1:27" x14ac:dyDescent="0.3">
      <c r="A391" t="s">
        <v>48</v>
      </c>
      <c r="B391">
        <v>1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0</v>
      </c>
      <c r="L391">
        <v>0</v>
      </c>
      <c r="M391">
        <v>3</v>
      </c>
      <c r="N391">
        <v>1</v>
      </c>
      <c r="O391">
        <v>0</v>
      </c>
      <c r="P391">
        <v>1</v>
      </c>
      <c r="Q391">
        <v>1</v>
      </c>
      <c r="R391">
        <v>1</v>
      </c>
      <c r="S391">
        <v>1</v>
      </c>
      <c r="T391">
        <v>2</v>
      </c>
      <c r="U391">
        <v>1</v>
      </c>
      <c r="V391">
        <v>1</v>
      </c>
      <c r="W391">
        <v>0</v>
      </c>
      <c r="X391">
        <v>1</v>
      </c>
      <c r="Y391">
        <v>3</v>
      </c>
      <c r="Z391">
        <f>SUM(B391:Y391)</f>
        <v>21</v>
      </c>
      <c r="AA391">
        <f>Z391/Z392</f>
        <v>3.9637599093997732E-3</v>
      </c>
    </row>
    <row r="392" spans="1:27" x14ac:dyDescent="0.3">
      <c r="A392" t="s">
        <v>2</v>
      </c>
      <c r="B392">
        <v>335</v>
      </c>
      <c r="C392">
        <v>336</v>
      </c>
      <c r="D392">
        <v>180</v>
      </c>
      <c r="E392">
        <v>352</v>
      </c>
      <c r="F392">
        <v>124</v>
      </c>
      <c r="G392">
        <v>157</v>
      </c>
      <c r="H392">
        <v>144</v>
      </c>
      <c r="I392">
        <v>167</v>
      </c>
      <c r="J392">
        <v>141</v>
      </c>
      <c r="K392">
        <v>91</v>
      </c>
      <c r="L392">
        <v>82</v>
      </c>
      <c r="M392">
        <v>352</v>
      </c>
      <c r="N392">
        <v>156</v>
      </c>
      <c r="O392">
        <v>94</v>
      </c>
      <c r="P392">
        <v>104</v>
      </c>
      <c r="Q392">
        <v>169</v>
      </c>
      <c r="R392">
        <v>147</v>
      </c>
      <c r="S392">
        <v>183</v>
      </c>
      <c r="T392">
        <v>176</v>
      </c>
      <c r="U392">
        <v>245</v>
      </c>
      <c r="V392">
        <v>251</v>
      </c>
      <c r="W392">
        <v>310</v>
      </c>
      <c r="X392">
        <v>442</v>
      </c>
      <c r="Y392">
        <v>560</v>
      </c>
      <c r="Z392">
        <f>SUM(B392:Y392)</f>
        <v>5298</v>
      </c>
    </row>
    <row r="394" spans="1:27" x14ac:dyDescent="0.3">
      <c r="A394" t="s">
        <v>0</v>
      </c>
      <c r="B394" t="s">
        <v>83</v>
      </c>
      <c r="Y394" s="1"/>
    </row>
    <row r="395" spans="1:27" x14ac:dyDescent="0.3">
      <c r="A395" t="s">
        <v>3</v>
      </c>
      <c r="B395" s="1">
        <v>46296</v>
      </c>
      <c r="C395" s="1">
        <v>46303</v>
      </c>
      <c r="D395" s="1">
        <v>46310</v>
      </c>
      <c r="E395" s="1">
        <v>46317</v>
      </c>
      <c r="F395" s="1">
        <v>46327</v>
      </c>
      <c r="G395" s="1">
        <v>46334</v>
      </c>
      <c r="H395" s="1">
        <v>46341</v>
      </c>
      <c r="I395" s="1">
        <v>46348</v>
      </c>
      <c r="J395" s="1">
        <v>46357</v>
      </c>
      <c r="K395" s="1">
        <v>46364</v>
      </c>
      <c r="L395" s="1">
        <v>46371</v>
      </c>
      <c r="M395" s="1">
        <v>46378</v>
      </c>
      <c r="N395" s="1">
        <v>46023</v>
      </c>
      <c r="O395" s="1">
        <v>46030</v>
      </c>
      <c r="P395" s="1">
        <v>46037</v>
      </c>
      <c r="Q395" s="1">
        <v>46044</v>
      </c>
      <c r="R395" s="1">
        <v>46054</v>
      </c>
      <c r="S395" s="1">
        <v>46061</v>
      </c>
      <c r="T395" s="1">
        <v>46068</v>
      </c>
      <c r="U395" s="1">
        <v>46075</v>
      </c>
      <c r="V395" s="1">
        <v>46082</v>
      </c>
      <c r="W395" s="1">
        <v>46089</v>
      </c>
      <c r="X395" s="1">
        <v>46096</v>
      </c>
      <c r="Y395" s="1">
        <v>46103</v>
      </c>
    </row>
    <row r="396" spans="1:27" x14ac:dyDescent="0.3">
      <c r="A396" t="s">
        <v>58</v>
      </c>
      <c r="B396">
        <v>0.17482517482517401</v>
      </c>
      <c r="C396">
        <v>0.775193798449612</v>
      </c>
      <c r="D396">
        <v>2.44299674267101</v>
      </c>
      <c r="E396">
        <v>2.8070175438596401</v>
      </c>
      <c r="F396">
        <v>2.1702838063439001</v>
      </c>
      <c r="G396">
        <v>1.8207282913165199</v>
      </c>
      <c r="H396">
        <v>2.1052631578947301</v>
      </c>
      <c r="I396">
        <v>1.9522776572668099</v>
      </c>
      <c r="J396">
        <v>1.8413597733711</v>
      </c>
      <c r="K396">
        <v>2.9282576866764201</v>
      </c>
      <c r="L396">
        <v>2.13740458015267</v>
      </c>
      <c r="M396">
        <v>1.9120458891013301</v>
      </c>
      <c r="N396">
        <v>2.5185185185185102</v>
      </c>
      <c r="O396">
        <v>2.7696793002915401</v>
      </c>
      <c r="P396">
        <v>2.4673439767779302</v>
      </c>
      <c r="Q396">
        <v>1.7079419299743801</v>
      </c>
      <c r="R396">
        <v>2.1111111111111098</v>
      </c>
      <c r="S396">
        <v>1.19956379498364</v>
      </c>
      <c r="T396">
        <v>1.39470013947001</v>
      </c>
      <c r="U396">
        <v>1.03896103896103</v>
      </c>
      <c r="V396">
        <v>1.2711864406779601</v>
      </c>
      <c r="W396">
        <v>0.894187779433681</v>
      </c>
      <c r="X396">
        <v>0.89628681177976899</v>
      </c>
      <c r="Y396">
        <v>0.80971659919028305</v>
      </c>
    </row>
    <row r="397" spans="1:27" x14ac:dyDescent="0.3">
      <c r="A397" t="s">
        <v>48</v>
      </c>
      <c r="B397">
        <v>1</v>
      </c>
      <c r="C397">
        <v>5</v>
      </c>
      <c r="D397">
        <v>12</v>
      </c>
      <c r="E397">
        <v>23</v>
      </c>
      <c r="F397">
        <v>10</v>
      </c>
      <c r="G397">
        <v>13</v>
      </c>
      <c r="H397">
        <v>14</v>
      </c>
      <c r="I397">
        <v>17</v>
      </c>
      <c r="J397">
        <v>14</v>
      </c>
      <c r="K397">
        <v>21</v>
      </c>
      <c r="L397">
        <v>14</v>
      </c>
      <c r="M397">
        <v>21</v>
      </c>
      <c r="N397">
        <v>17</v>
      </c>
      <c r="O397">
        <v>19</v>
      </c>
      <c r="P397">
        <v>17</v>
      </c>
      <c r="Q397">
        <v>19</v>
      </c>
      <c r="R397">
        <v>19</v>
      </c>
      <c r="S397">
        <v>12</v>
      </c>
      <c r="T397">
        <v>10</v>
      </c>
      <c r="U397">
        <v>8</v>
      </c>
      <c r="V397">
        <v>9</v>
      </c>
      <c r="W397">
        <v>6</v>
      </c>
      <c r="X397">
        <v>7</v>
      </c>
      <c r="Y397">
        <v>14</v>
      </c>
      <c r="Z397">
        <f>SUM(B397:Y397)</f>
        <v>322</v>
      </c>
      <c r="AA397">
        <f>Z397/Z398</f>
        <v>1.6754253603205163E-2</v>
      </c>
    </row>
    <row r="398" spans="1:27" x14ac:dyDescent="0.3">
      <c r="A398" t="s">
        <v>2</v>
      </c>
      <c r="B398">
        <v>572</v>
      </c>
      <c r="C398">
        <v>774</v>
      </c>
      <c r="D398">
        <v>614</v>
      </c>
      <c r="E398">
        <v>855</v>
      </c>
      <c r="F398">
        <v>599</v>
      </c>
      <c r="G398">
        <v>714</v>
      </c>
      <c r="H398">
        <v>665</v>
      </c>
      <c r="I398">
        <v>922</v>
      </c>
      <c r="J398">
        <v>706</v>
      </c>
      <c r="K398">
        <v>683</v>
      </c>
      <c r="L398">
        <v>655</v>
      </c>
      <c r="M398">
        <v>1046</v>
      </c>
      <c r="N398">
        <v>675</v>
      </c>
      <c r="O398">
        <v>686</v>
      </c>
      <c r="P398">
        <v>689</v>
      </c>
      <c r="Q398">
        <v>1171</v>
      </c>
      <c r="R398">
        <v>900</v>
      </c>
      <c r="S398">
        <v>917</v>
      </c>
      <c r="T398">
        <v>717</v>
      </c>
      <c r="U398">
        <v>770</v>
      </c>
      <c r="V398">
        <v>708</v>
      </c>
      <c r="W398">
        <v>671</v>
      </c>
      <c r="X398">
        <v>781</v>
      </c>
      <c r="Y398">
        <v>1729</v>
      </c>
      <c r="Z398">
        <f>SUM(B398:Y398)</f>
        <v>19219</v>
      </c>
    </row>
    <row r="399" spans="1:27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7" x14ac:dyDescent="0.3">
      <c r="A400" t="s">
        <v>0</v>
      </c>
      <c r="B400" t="s">
        <v>84</v>
      </c>
    </row>
    <row r="401" spans="1:27" x14ac:dyDescent="0.3">
      <c r="A401" t="s">
        <v>3</v>
      </c>
      <c r="B401" s="1">
        <v>46296</v>
      </c>
      <c r="C401" s="1">
        <v>46303</v>
      </c>
      <c r="D401" s="1">
        <v>46310</v>
      </c>
      <c r="E401" s="1">
        <v>46317</v>
      </c>
      <c r="F401" s="1">
        <v>46327</v>
      </c>
      <c r="G401" s="1">
        <v>46334</v>
      </c>
      <c r="H401" s="1">
        <v>46341</v>
      </c>
      <c r="I401" s="1">
        <v>46348</v>
      </c>
      <c r="J401" s="1">
        <v>46357</v>
      </c>
      <c r="K401" s="1">
        <v>46364</v>
      </c>
      <c r="L401" s="1">
        <v>46371</v>
      </c>
      <c r="M401" s="1">
        <v>46378</v>
      </c>
      <c r="N401" s="1">
        <v>46023</v>
      </c>
      <c r="O401" s="1">
        <v>46030</v>
      </c>
      <c r="P401" s="1">
        <v>46037</v>
      </c>
      <c r="Q401" s="1">
        <v>46044</v>
      </c>
      <c r="R401" s="1">
        <v>46054</v>
      </c>
      <c r="S401" s="1">
        <v>46061</v>
      </c>
      <c r="T401" s="1">
        <v>46068</v>
      </c>
      <c r="U401" s="1">
        <v>46075</v>
      </c>
      <c r="V401" s="1">
        <v>46082</v>
      </c>
      <c r="W401" s="1">
        <v>46089</v>
      </c>
      <c r="X401" s="1">
        <v>46096</v>
      </c>
      <c r="Y401" s="1">
        <v>46103</v>
      </c>
    </row>
    <row r="402" spans="1:27" x14ac:dyDescent="0.3">
      <c r="A402" t="s">
        <v>58</v>
      </c>
      <c r="B402">
        <v>0</v>
      </c>
      <c r="C402">
        <v>0</v>
      </c>
      <c r="D402">
        <v>0</v>
      </c>
      <c r="E402">
        <v>1.94174757281553</v>
      </c>
      <c r="F402">
        <v>10</v>
      </c>
      <c r="G402">
        <v>7.1428571428571397</v>
      </c>
      <c r="H402">
        <v>1.88679245283018</v>
      </c>
      <c r="I402">
        <v>1.3986013986013901</v>
      </c>
      <c r="J402">
        <v>11.764705882352899</v>
      </c>
      <c r="K402">
        <v>4.3478260869565197</v>
      </c>
      <c r="L402">
        <v>3.5714285714285698</v>
      </c>
      <c r="M402">
        <v>0</v>
      </c>
      <c r="N402">
        <v>0</v>
      </c>
      <c r="O402">
        <v>1.6666666666666601</v>
      </c>
      <c r="P402">
        <v>1.4285714285714199</v>
      </c>
      <c r="Q402">
        <v>1.98019801980198</v>
      </c>
      <c r="R402">
        <v>1.1764705882352899</v>
      </c>
      <c r="S402">
        <v>0</v>
      </c>
      <c r="T402">
        <v>0</v>
      </c>
      <c r="U402">
        <v>1.2048192771084301</v>
      </c>
      <c r="V402">
        <v>2.1505376344085998</v>
      </c>
      <c r="W402">
        <v>0</v>
      </c>
      <c r="X402">
        <v>2.7027027027027</v>
      </c>
      <c r="Y402">
        <v>9.7087378640776691</v>
      </c>
    </row>
    <row r="403" spans="1:27" x14ac:dyDescent="0.3">
      <c r="A403" t="s">
        <v>48</v>
      </c>
      <c r="B403">
        <v>0</v>
      </c>
      <c r="C403">
        <v>0</v>
      </c>
      <c r="D403">
        <v>0</v>
      </c>
      <c r="E403">
        <v>2</v>
      </c>
      <c r="F403">
        <v>5</v>
      </c>
      <c r="G403">
        <v>4</v>
      </c>
      <c r="H403">
        <v>1</v>
      </c>
      <c r="I403">
        <v>2</v>
      </c>
      <c r="J403">
        <v>6</v>
      </c>
      <c r="K403">
        <v>2</v>
      </c>
      <c r="L403">
        <v>1</v>
      </c>
      <c r="M403">
        <v>0</v>
      </c>
      <c r="N403">
        <v>0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0</v>
      </c>
      <c r="U403">
        <v>1</v>
      </c>
      <c r="V403">
        <v>2</v>
      </c>
      <c r="W403">
        <v>0</v>
      </c>
      <c r="X403">
        <v>2</v>
      </c>
      <c r="Y403">
        <v>10</v>
      </c>
      <c r="Z403">
        <f>SUM(B403:Y403)</f>
        <v>44</v>
      </c>
      <c r="AA403">
        <f>Z403/Z404</f>
        <v>2.5418833044482957E-2</v>
      </c>
    </row>
    <row r="404" spans="1:27" x14ac:dyDescent="0.3">
      <c r="A404" t="s">
        <v>2</v>
      </c>
      <c r="B404">
        <v>73</v>
      </c>
      <c r="C404">
        <v>58</v>
      </c>
      <c r="D404">
        <v>43</v>
      </c>
      <c r="E404">
        <v>103</v>
      </c>
      <c r="F404">
        <v>50</v>
      </c>
      <c r="G404">
        <v>56</v>
      </c>
      <c r="H404">
        <v>53</v>
      </c>
      <c r="I404">
        <v>143</v>
      </c>
      <c r="J404">
        <v>51</v>
      </c>
      <c r="K404">
        <v>46</v>
      </c>
      <c r="L404">
        <v>28</v>
      </c>
      <c r="M404">
        <v>85</v>
      </c>
      <c r="N404">
        <v>61</v>
      </c>
      <c r="O404">
        <v>60</v>
      </c>
      <c r="P404">
        <v>70</v>
      </c>
      <c r="Q404">
        <v>101</v>
      </c>
      <c r="R404">
        <v>85</v>
      </c>
      <c r="S404">
        <v>76</v>
      </c>
      <c r="T404">
        <v>63</v>
      </c>
      <c r="U404">
        <v>83</v>
      </c>
      <c r="V404">
        <v>93</v>
      </c>
      <c r="W404">
        <v>73</v>
      </c>
      <c r="X404">
        <v>74</v>
      </c>
      <c r="Y404">
        <v>103</v>
      </c>
      <c r="Z404">
        <f>SUM(B404:Y404)</f>
        <v>1731</v>
      </c>
    </row>
    <row r="406" spans="1:27" x14ac:dyDescent="0.3">
      <c r="A406" t="s">
        <v>0</v>
      </c>
      <c r="B406" t="s">
        <v>85</v>
      </c>
      <c r="Y406" s="1"/>
    </row>
    <row r="407" spans="1:27" x14ac:dyDescent="0.3">
      <c r="A407" t="s">
        <v>3</v>
      </c>
      <c r="B407" s="1">
        <v>46296</v>
      </c>
      <c r="C407" s="1">
        <v>46303</v>
      </c>
      <c r="D407" s="1">
        <v>46310</v>
      </c>
      <c r="E407" s="1">
        <v>46317</v>
      </c>
      <c r="F407" s="1">
        <v>46327</v>
      </c>
      <c r="G407" s="1">
        <v>46334</v>
      </c>
      <c r="H407" s="1">
        <v>46341</v>
      </c>
      <c r="I407" s="1">
        <v>46348</v>
      </c>
      <c r="J407" s="1">
        <v>46357</v>
      </c>
      <c r="K407" s="1">
        <v>46364</v>
      </c>
      <c r="L407" s="1">
        <v>46371</v>
      </c>
      <c r="M407" s="1">
        <v>46378</v>
      </c>
      <c r="N407" s="1">
        <v>46023</v>
      </c>
      <c r="O407" s="1">
        <v>46030</v>
      </c>
      <c r="P407" s="1">
        <v>46037</v>
      </c>
      <c r="Q407" s="1">
        <v>46044</v>
      </c>
      <c r="R407" s="1">
        <v>46054</v>
      </c>
      <c r="S407" s="1">
        <v>46061</v>
      </c>
      <c r="T407" s="1">
        <v>46068</v>
      </c>
      <c r="U407" s="1">
        <v>46075</v>
      </c>
      <c r="V407" s="1">
        <v>46082</v>
      </c>
      <c r="W407" s="1">
        <v>46089</v>
      </c>
      <c r="X407" s="1">
        <v>46096</v>
      </c>
      <c r="Y407" s="1">
        <v>46103</v>
      </c>
    </row>
    <row r="408" spans="1:27" x14ac:dyDescent="0.3">
      <c r="A408" t="s">
        <v>58</v>
      </c>
      <c r="B408">
        <v>0</v>
      </c>
      <c r="C408">
        <v>0</v>
      </c>
      <c r="D408">
        <v>0</v>
      </c>
      <c r="E408">
        <v>0.43103448275862</v>
      </c>
      <c r="F408">
        <v>0.56818181818181801</v>
      </c>
      <c r="G408">
        <v>0.85106382978723405</v>
      </c>
      <c r="H408">
        <v>0.34602076124567399</v>
      </c>
      <c r="I408">
        <v>0.21276595744680801</v>
      </c>
      <c r="J408">
        <v>0.25510204081632598</v>
      </c>
      <c r="K408">
        <v>1.40350877192982</v>
      </c>
      <c r="L408">
        <v>0.75757575757575701</v>
      </c>
      <c r="M408">
        <v>0.42462845010615702</v>
      </c>
      <c r="N408">
        <v>0.20964360587002001</v>
      </c>
      <c r="O408">
        <v>0.22831050228310501</v>
      </c>
      <c r="P408">
        <v>0.48780487804877998</v>
      </c>
      <c r="Q408">
        <v>0.60975609756097504</v>
      </c>
      <c r="R408">
        <v>0.31347962382445099</v>
      </c>
      <c r="S408">
        <v>0.24330900243309</v>
      </c>
      <c r="T408">
        <v>0</v>
      </c>
      <c r="U408">
        <v>0.25575447570332399</v>
      </c>
      <c r="V408">
        <v>0.50632911392405</v>
      </c>
      <c r="W408">
        <v>0.54495912806539504</v>
      </c>
      <c r="X408">
        <v>0</v>
      </c>
      <c r="Y408">
        <v>0.18083182640144599</v>
      </c>
    </row>
    <row r="409" spans="1:27" x14ac:dyDescent="0.3">
      <c r="A409" t="s">
        <v>48</v>
      </c>
      <c r="B409">
        <v>0</v>
      </c>
      <c r="C409">
        <v>0</v>
      </c>
      <c r="D409">
        <v>0</v>
      </c>
      <c r="E409">
        <v>2</v>
      </c>
      <c r="F409">
        <v>2</v>
      </c>
      <c r="G409">
        <v>4</v>
      </c>
      <c r="H409">
        <v>2</v>
      </c>
      <c r="I409">
        <v>1</v>
      </c>
      <c r="J409">
        <v>1</v>
      </c>
      <c r="K409">
        <v>4</v>
      </c>
      <c r="L409">
        <v>2</v>
      </c>
      <c r="M409">
        <v>6</v>
      </c>
      <c r="N409">
        <v>1</v>
      </c>
      <c r="O409">
        <v>1</v>
      </c>
      <c r="P409">
        <v>2</v>
      </c>
      <c r="Q409">
        <v>3</v>
      </c>
      <c r="R409">
        <v>1</v>
      </c>
      <c r="S409">
        <v>2</v>
      </c>
      <c r="T409">
        <v>0</v>
      </c>
      <c r="U409">
        <v>1</v>
      </c>
      <c r="V409">
        <v>1</v>
      </c>
      <c r="W409">
        <v>2</v>
      </c>
      <c r="X409">
        <v>0</v>
      </c>
      <c r="Y409">
        <v>1</v>
      </c>
      <c r="Z409">
        <f>SUM(B409:Y409)</f>
        <v>39</v>
      </c>
      <c r="AA409">
        <f>Z409/Z410</f>
        <v>3.9881378464055629E-3</v>
      </c>
    </row>
    <row r="410" spans="1:27" x14ac:dyDescent="0.3">
      <c r="A410" t="s">
        <v>2</v>
      </c>
      <c r="B410">
        <v>319</v>
      </c>
      <c r="C410">
        <v>383</v>
      </c>
      <c r="D410">
        <v>339</v>
      </c>
      <c r="E410">
        <v>464</v>
      </c>
      <c r="F410">
        <v>352</v>
      </c>
      <c r="G410">
        <v>470</v>
      </c>
      <c r="H410">
        <v>578</v>
      </c>
      <c r="I410">
        <v>470</v>
      </c>
      <c r="J410">
        <v>392</v>
      </c>
      <c r="K410">
        <v>285</v>
      </c>
      <c r="L410">
        <v>264</v>
      </c>
      <c r="M410">
        <v>471</v>
      </c>
      <c r="N410">
        <v>477</v>
      </c>
      <c r="O410">
        <v>438</v>
      </c>
      <c r="P410">
        <v>410</v>
      </c>
      <c r="Q410">
        <v>492</v>
      </c>
      <c r="R410">
        <v>319</v>
      </c>
      <c r="S410">
        <v>411</v>
      </c>
      <c r="T410">
        <v>380</v>
      </c>
      <c r="U410">
        <v>391</v>
      </c>
      <c r="V410">
        <v>395</v>
      </c>
      <c r="W410">
        <v>367</v>
      </c>
      <c r="X410">
        <v>359</v>
      </c>
      <c r="Y410">
        <v>553</v>
      </c>
      <c r="Z410">
        <f>SUM(B410:Y410)</f>
        <v>9779</v>
      </c>
    </row>
    <row r="412" spans="1:27" x14ac:dyDescent="0.3">
      <c r="A412" t="s">
        <v>0</v>
      </c>
      <c r="B412" t="s">
        <v>86</v>
      </c>
    </row>
    <row r="413" spans="1:27" x14ac:dyDescent="0.3">
      <c r="A413" t="s">
        <v>3</v>
      </c>
      <c r="B413" s="1">
        <v>46296</v>
      </c>
      <c r="C413" s="1">
        <v>46303</v>
      </c>
      <c r="D413" s="1">
        <v>46310</v>
      </c>
      <c r="E413" s="1">
        <v>46317</v>
      </c>
      <c r="F413" s="1">
        <v>46327</v>
      </c>
      <c r="G413" s="1">
        <v>46334</v>
      </c>
      <c r="H413" s="1">
        <v>46341</v>
      </c>
      <c r="I413" s="1">
        <v>46348</v>
      </c>
      <c r="J413" s="1">
        <v>46357</v>
      </c>
      <c r="K413" s="1">
        <v>46364</v>
      </c>
      <c r="L413" s="1">
        <v>46371</v>
      </c>
      <c r="M413" s="1">
        <v>46378</v>
      </c>
      <c r="N413" s="1">
        <v>46023</v>
      </c>
      <c r="O413" s="1">
        <v>46030</v>
      </c>
      <c r="P413" s="1">
        <v>46037</v>
      </c>
      <c r="Q413" s="1">
        <v>46044</v>
      </c>
      <c r="R413" s="1">
        <v>46054</v>
      </c>
      <c r="S413" s="1">
        <v>46061</v>
      </c>
      <c r="T413" s="1">
        <v>46068</v>
      </c>
      <c r="U413" s="1">
        <v>46075</v>
      </c>
      <c r="V413" s="1">
        <v>46082</v>
      </c>
      <c r="W413" s="1">
        <v>46089</v>
      </c>
      <c r="X413" s="1">
        <v>46096</v>
      </c>
      <c r="Y413" s="1">
        <v>46103</v>
      </c>
    </row>
    <row r="414" spans="1:27" x14ac:dyDescent="0.3">
      <c r="A414" t="s">
        <v>58</v>
      </c>
      <c r="B414">
        <v>0</v>
      </c>
      <c r="C414">
        <v>3.44827586206896</v>
      </c>
      <c r="D414">
        <v>0</v>
      </c>
      <c r="E414">
        <v>0</v>
      </c>
      <c r="F414">
        <v>0</v>
      </c>
      <c r="G414">
        <v>8.6956521739130395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</v>
      </c>
      <c r="N414">
        <v>0</v>
      </c>
      <c r="O414">
        <v>0</v>
      </c>
      <c r="P414">
        <v>0</v>
      </c>
      <c r="Q414">
        <v>14.285714285714199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7" x14ac:dyDescent="0.3">
      <c r="A415" t="s">
        <v>48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f>SUM(B415:Y415)</f>
        <v>5</v>
      </c>
      <c r="AA415">
        <f>Z415/Z416</f>
        <v>1.1013215859030838E-2</v>
      </c>
    </row>
    <row r="416" spans="1:27" x14ac:dyDescent="0.3">
      <c r="A416" t="s">
        <v>2</v>
      </c>
      <c r="B416">
        <v>29</v>
      </c>
      <c r="C416">
        <v>29</v>
      </c>
      <c r="D416">
        <v>24</v>
      </c>
      <c r="E416">
        <v>30</v>
      </c>
      <c r="F416">
        <v>20</v>
      </c>
      <c r="G416">
        <v>23</v>
      </c>
      <c r="H416">
        <v>17</v>
      </c>
      <c r="I416">
        <v>11</v>
      </c>
      <c r="J416">
        <v>15</v>
      </c>
      <c r="K416">
        <v>20</v>
      </c>
      <c r="L416">
        <v>25</v>
      </c>
      <c r="M416">
        <v>20</v>
      </c>
      <c r="N416">
        <v>25</v>
      </c>
      <c r="O416">
        <v>19</v>
      </c>
      <c r="P416">
        <v>22</v>
      </c>
      <c r="Q416">
        <v>14</v>
      </c>
      <c r="R416">
        <v>6</v>
      </c>
      <c r="S416">
        <v>2</v>
      </c>
      <c r="T416">
        <v>8</v>
      </c>
      <c r="U416">
        <v>2</v>
      </c>
      <c r="V416">
        <v>10</v>
      </c>
      <c r="W416">
        <v>13</v>
      </c>
      <c r="X416">
        <v>27</v>
      </c>
      <c r="Y416">
        <v>43</v>
      </c>
      <c r="Z416">
        <f>SUM(B416:Y416)</f>
        <v>454</v>
      </c>
    </row>
    <row r="418" spans="1:27" x14ac:dyDescent="0.3">
      <c r="A418" t="s">
        <v>0</v>
      </c>
      <c r="B418" t="s">
        <v>87</v>
      </c>
      <c r="Y418" s="1"/>
    </row>
    <row r="419" spans="1:27" x14ac:dyDescent="0.3">
      <c r="A419" t="s">
        <v>3</v>
      </c>
      <c r="B419" s="1">
        <v>46296</v>
      </c>
      <c r="C419" s="1">
        <v>46303</v>
      </c>
      <c r="D419" s="1">
        <v>46310</v>
      </c>
      <c r="E419" s="1">
        <v>46317</v>
      </c>
      <c r="F419" s="1">
        <v>46327</v>
      </c>
      <c r="G419" s="1">
        <v>46334</v>
      </c>
      <c r="H419" s="1">
        <v>46341</v>
      </c>
      <c r="I419" s="1">
        <v>46348</v>
      </c>
      <c r="J419" s="1">
        <v>46357</v>
      </c>
      <c r="K419" s="1">
        <v>46364</v>
      </c>
      <c r="L419" s="1">
        <v>46371</v>
      </c>
      <c r="M419" s="1">
        <v>46378</v>
      </c>
      <c r="N419" s="1">
        <v>46023</v>
      </c>
      <c r="O419" s="1">
        <v>46030</v>
      </c>
      <c r="P419" s="1">
        <v>46037</v>
      </c>
      <c r="Q419" s="1">
        <v>46044</v>
      </c>
      <c r="R419" s="1">
        <v>46054</v>
      </c>
      <c r="S419" s="1">
        <v>46061</v>
      </c>
      <c r="T419" s="1">
        <v>46068</v>
      </c>
      <c r="U419" s="1">
        <v>46075</v>
      </c>
      <c r="V419" s="1">
        <v>46082</v>
      </c>
      <c r="W419" s="1">
        <v>46089</v>
      </c>
      <c r="X419" s="1">
        <v>46096</v>
      </c>
      <c r="Y419" s="1">
        <v>46103</v>
      </c>
    </row>
    <row r="420" spans="1:27" x14ac:dyDescent="0.3">
      <c r="A420" t="s">
        <v>58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0.28653295099999998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7" x14ac:dyDescent="0.3">
      <c r="A421" t="s">
        <v>48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f>SUM(B421:Y421)</f>
        <v>2</v>
      </c>
      <c r="AA421">
        <f>Z421/Z422</f>
        <v>2.6802465826856071E-4</v>
      </c>
    </row>
    <row r="422" spans="1:27" x14ac:dyDescent="0.3">
      <c r="A422" t="s">
        <v>2</v>
      </c>
      <c r="B422">
        <v>263</v>
      </c>
      <c r="C422">
        <v>380</v>
      </c>
      <c r="D422">
        <v>405</v>
      </c>
      <c r="E422">
        <v>444</v>
      </c>
      <c r="F422">
        <v>324</v>
      </c>
      <c r="G422">
        <v>274</v>
      </c>
      <c r="H422">
        <v>274</v>
      </c>
      <c r="I422">
        <v>349</v>
      </c>
      <c r="J422">
        <v>310</v>
      </c>
      <c r="K422">
        <v>255</v>
      </c>
      <c r="L422">
        <v>223</v>
      </c>
      <c r="M422">
        <v>462</v>
      </c>
      <c r="N422">
        <v>282</v>
      </c>
      <c r="O422">
        <v>244</v>
      </c>
      <c r="P422">
        <v>231</v>
      </c>
      <c r="Q422">
        <v>422</v>
      </c>
      <c r="R422">
        <v>301</v>
      </c>
      <c r="S422">
        <v>256</v>
      </c>
      <c r="T422">
        <v>287</v>
      </c>
      <c r="U422">
        <v>340</v>
      </c>
      <c r="V422">
        <v>274</v>
      </c>
      <c r="W422">
        <v>230</v>
      </c>
      <c r="X422">
        <v>261</v>
      </c>
      <c r="Y422">
        <v>371</v>
      </c>
      <c r="Z422">
        <f>SUM(B422:Y422)</f>
        <v>7462</v>
      </c>
    </row>
    <row r="423" spans="1:27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7" x14ac:dyDescent="0.3">
      <c r="A424" t="s">
        <v>0</v>
      </c>
      <c r="B424" t="s">
        <v>88</v>
      </c>
    </row>
    <row r="425" spans="1:27" x14ac:dyDescent="0.3">
      <c r="A425" t="s">
        <v>3</v>
      </c>
      <c r="B425" s="1">
        <v>46296</v>
      </c>
      <c r="C425" s="1">
        <v>46303</v>
      </c>
      <c r="D425" s="1">
        <v>46310</v>
      </c>
      <c r="E425" s="1">
        <v>46317</v>
      </c>
      <c r="F425" s="1">
        <v>46327</v>
      </c>
      <c r="G425" s="1">
        <v>46334</v>
      </c>
      <c r="H425" s="1">
        <v>46341</v>
      </c>
      <c r="I425" s="1">
        <v>46348</v>
      </c>
      <c r="J425" s="1">
        <v>46357</v>
      </c>
      <c r="K425" s="1">
        <v>46364</v>
      </c>
      <c r="L425" s="1">
        <v>46371</v>
      </c>
      <c r="M425" s="1">
        <v>46378</v>
      </c>
      <c r="N425" s="1">
        <v>46023</v>
      </c>
      <c r="O425" s="1">
        <v>46030</v>
      </c>
      <c r="P425" s="1">
        <v>46037</v>
      </c>
      <c r="Q425" s="1">
        <v>46044</v>
      </c>
      <c r="R425" s="1">
        <v>46054</v>
      </c>
      <c r="S425" s="1">
        <v>46061</v>
      </c>
      <c r="T425" s="1">
        <v>46068</v>
      </c>
      <c r="U425" s="1">
        <v>46075</v>
      </c>
      <c r="V425" s="1">
        <v>46082</v>
      </c>
      <c r="W425" s="1">
        <v>46089</v>
      </c>
      <c r="X425" s="1">
        <v>46096</v>
      </c>
      <c r="Y425" s="1">
        <v>46103</v>
      </c>
    </row>
    <row r="426" spans="1:27" x14ac:dyDescent="0.3">
      <c r="A426" t="s">
        <v>58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7" x14ac:dyDescent="0.3">
      <c r="A427" t="s">
        <v>48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f>SUM(B427:Y427)</f>
        <v>0</v>
      </c>
      <c r="AA427">
        <f>Z427/Z428</f>
        <v>0</v>
      </c>
    </row>
    <row r="428" spans="1:27" x14ac:dyDescent="0.3">
      <c r="A428" t="s">
        <v>2</v>
      </c>
      <c r="B428">
        <v>389</v>
      </c>
      <c r="C428">
        <v>642</v>
      </c>
      <c r="D428">
        <v>552</v>
      </c>
      <c r="E428">
        <v>697</v>
      </c>
      <c r="F428">
        <v>711</v>
      </c>
      <c r="G428">
        <v>1028</v>
      </c>
      <c r="H428">
        <v>742</v>
      </c>
      <c r="I428">
        <v>730</v>
      </c>
      <c r="J428">
        <v>637</v>
      </c>
      <c r="K428">
        <v>452</v>
      </c>
      <c r="L428">
        <v>430</v>
      </c>
      <c r="M428">
        <v>814</v>
      </c>
      <c r="N428">
        <v>456</v>
      </c>
      <c r="O428">
        <v>450</v>
      </c>
      <c r="P428">
        <v>358</v>
      </c>
      <c r="Q428">
        <v>654</v>
      </c>
      <c r="R428">
        <v>412</v>
      </c>
      <c r="S428">
        <v>547</v>
      </c>
      <c r="T428">
        <v>1244</v>
      </c>
      <c r="U428">
        <v>718</v>
      </c>
      <c r="V428">
        <v>821</v>
      </c>
      <c r="W428">
        <v>896</v>
      </c>
      <c r="X428">
        <v>1080</v>
      </c>
      <c r="Y428">
        <v>2184</v>
      </c>
      <c r="Z428">
        <f>SUM(B428:Y428)</f>
        <v>17644</v>
      </c>
    </row>
    <row r="430" spans="1:27" x14ac:dyDescent="0.3">
      <c r="A430" t="s">
        <v>0</v>
      </c>
      <c r="B430" t="s">
        <v>89</v>
      </c>
      <c r="Y430" s="1"/>
    </row>
    <row r="431" spans="1:27" x14ac:dyDescent="0.3">
      <c r="A431" t="s">
        <v>3</v>
      </c>
      <c r="B431" s="1">
        <v>46296</v>
      </c>
      <c r="C431" s="1">
        <v>46303</v>
      </c>
      <c r="D431" s="1">
        <v>46310</v>
      </c>
      <c r="E431" s="1">
        <v>46317</v>
      </c>
      <c r="F431" s="1">
        <v>46327</v>
      </c>
      <c r="G431" s="1">
        <v>46334</v>
      </c>
      <c r="H431" s="1">
        <v>46341</v>
      </c>
      <c r="I431" s="1">
        <v>46348</v>
      </c>
      <c r="J431" s="1">
        <v>46357</v>
      </c>
      <c r="K431" s="1">
        <v>46364</v>
      </c>
      <c r="L431" s="1">
        <v>46371</v>
      </c>
      <c r="M431" s="1">
        <v>46378</v>
      </c>
      <c r="N431" s="1">
        <v>46023</v>
      </c>
      <c r="O431" s="1">
        <v>46030</v>
      </c>
      <c r="P431" s="1">
        <v>46037</v>
      </c>
      <c r="Q431" s="1">
        <v>46044</v>
      </c>
      <c r="R431" s="1">
        <v>46054</v>
      </c>
      <c r="S431" s="1">
        <v>46061</v>
      </c>
      <c r="T431" s="1">
        <v>46068</v>
      </c>
      <c r="U431" s="1">
        <v>46075</v>
      </c>
      <c r="V431" s="1">
        <v>46082</v>
      </c>
      <c r="W431" s="1">
        <v>46089</v>
      </c>
      <c r="X431" s="1">
        <v>46096</v>
      </c>
      <c r="Y431" s="1">
        <v>46103</v>
      </c>
    </row>
    <row r="432" spans="1:27" x14ac:dyDescent="0.3">
      <c r="A432" t="s">
        <v>58</v>
      </c>
      <c r="B432">
        <v>0</v>
      </c>
      <c r="C432">
        <v>0</v>
      </c>
      <c r="D432">
        <v>5.0175614651279399E-2</v>
      </c>
      <c r="E432">
        <v>0</v>
      </c>
      <c r="F432">
        <v>0</v>
      </c>
      <c r="G432">
        <v>0</v>
      </c>
      <c r="H432">
        <v>3.9920159680638702E-2</v>
      </c>
      <c r="I432">
        <v>6.5638332786347203E-2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5.3361792956243298E-2</v>
      </c>
      <c r="U432">
        <v>0</v>
      </c>
      <c r="V432">
        <v>4.92368291482028E-2</v>
      </c>
      <c r="W432">
        <v>5.1046452271567101E-2</v>
      </c>
      <c r="X432">
        <v>0</v>
      </c>
      <c r="Y432">
        <v>3.7835792659856197E-2</v>
      </c>
    </row>
    <row r="433" spans="1:27" x14ac:dyDescent="0.3">
      <c r="A433" t="s">
        <v>48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1</v>
      </c>
      <c r="Z433">
        <f>SUM(B433:Y433)</f>
        <v>6</v>
      </c>
      <c r="AA433">
        <f>Z433/Z434</f>
        <v>1.128901766731265E-4</v>
      </c>
    </row>
    <row r="434" spans="1:27" x14ac:dyDescent="0.3">
      <c r="A434" t="s">
        <v>2</v>
      </c>
      <c r="B434">
        <v>1577</v>
      </c>
      <c r="C434">
        <v>2123</v>
      </c>
      <c r="D434">
        <v>1993</v>
      </c>
      <c r="E434">
        <v>2785</v>
      </c>
      <c r="F434">
        <v>2154</v>
      </c>
      <c r="G434">
        <v>2439</v>
      </c>
      <c r="H434">
        <v>2505</v>
      </c>
      <c r="I434">
        <v>3047</v>
      </c>
      <c r="J434">
        <v>2400</v>
      </c>
      <c r="K434">
        <v>2308</v>
      </c>
      <c r="L434">
        <v>2496</v>
      </c>
      <c r="M434">
        <v>3528</v>
      </c>
      <c r="N434">
        <v>2038</v>
      </c>
      <c r="O434">
        <v>2279</v>
      </c>
      <c r="P434">
        <v>1904</v>
      </c>
      <c r="Q434">
        <v>2297</v>
      </c>
      <c r="R434">
        <v>1463</v>
      </c>
      <c r="S434">
        <v>1666</v>
      </c>
      <c r="T434">
        <v>1874</v>
      </c>
      <c r="U434">
        <v>1785</v>
      </c>
      <c r="V434">
        <v>2031</v>
      </c>
      <c r="W434">
        <v>1959</v>
      </c>
      <c r="X434">
        <v>1855</v>
      </c>
      <c r="Y434">
        <v>2643</v>
      </c>
      <c r="Z434">
        <f>SUM(B434:Y434)</f>
        <v>53149</v>
      </c>
    </row>
    <row r="436" spans="1:27" x14ac:dyDescent="0.3">
      <c r="A436" t="s">
        <v>0</v>
      </c>
      <c r="B436" t="s">
        <v>90</v>
      </c>
    </row>
    <row r="437" spans="1:27" x14ac:dyDescent="0.3">
      <c r="A437" t="s">
        <v>3</v>
      </c>
      <c r="B437" s="1">
        <v>46296</v>
      </c>
      <c r="C437" s="1">
        <v>46303</v>
      </c>
      <c r="D437" s="1">
        <v>46310</v>
      </c>
      <c r="E437" s="1">
        <v>46317</v>
      </c>
      <c r="F437" s="1">
        <v>46327</v>
      </c>
      <c r="G437" s="1">
        <v>46334</v>
      </c>
      <c r="H437" s="1">
        <v>46341</v>
      </c>
      <c r="I437" s="1">
        <v>46348</v>
      </c>
      <c r="J437" s="1">
        <v>46357</v>
      </c>
      <c r="K437" s="1">
        <v>46364</v>
      </c>
      <c r="L437" s="1">
        <v>46371</v>
      </c>
      <c r="M437" s="1">
        <v>46378</v>
      </c>
      <c r="N437" s="1">
        <v>46023</v>
      </c>
      <c r="O437" s="1">
        <v>46030</v>
      </c>
      <c r="P437" s="1">
        <v>46037</v>
      </c>
      <c r="Q437" s="1">
        <v>46044</v>
      </c>
      <c r="R437" s="1">
        <v>46054</v>
      </c>
      <c r="S437" s="1">
        <v>46061</v>
      </c>
      <c r="T437" s="1">
        <v>46068</v>
      </c>
      <c r="U437" s="1">
        <v>46075</v>
      </c>
      <c r="V437" s="1">
        <v>46082</v>
      </c>
      <c r="W437" s="1">
        <v>46089</v>
      </c>
      <c r="X437" s="1">
        <v>46096</v>
      </c>
      <c r="Y437" s="1">
        <v>46103</v>
      </c>
    </row>
    <row r="438" spans="1:27" x14ac:dyDescent="0.3">
      <c r="A438" t="s">
        <v>58</v>
      </c>
      <c r="B438">
        <v>0</v>
      </c>
      <c r="C438">
        <v>0</v>
      </c>
      <c r="D438">
        <v>0</v>
      </c>
      <c r="E438">
        <v>0</v>
      </c>
      <c r="F438">
        <v>6.1865874783469397E-3</v>
      </c>
      <c r="G438">
        <v>0</v>
      </c>
      <c r="H438">
        <v>1.0355182768975801E-2</v>
      </c>
      <c r="I438">
        <v>0</v>
      </c>
      <c r="J438">
        <v>0</v>
      </c>
      <c r="K438">
        <v>5.1958848591915196E-3</v>
      </c>
      <c r="L438">
        <v>0</v>
      </c>
      <c r="M438">
        <v>3.5088950489490802E-3</v>
      </c>
      <c r="N438">
        <v>0</v>
      </c>
      <c r="O438">
        <v>0</v>
      </c>
      <c r="P438">
        <v>5.03296592682067E-3</v>
      </c>
      <c r="Q438">
        <v>1.9371585758010099E-2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7" x14ac:dyDescent="0.3">
      <c r="A439" t="s">
        <v>48</v>
      </c>
      <c r="B439">
        <v>0</v>
      </c>
      <c r="C439">
        <v>0</v>
      </c>
      <c r="D439">
        <v>0</v>
      </c>
      <c r="E439">
        <v>0</v>
      </c>
      <c r="F439">
        <v>1</v>
      </c>
      <c r="G439">
        <v>0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5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f>SUM(B439:Y439)</f>
        <v>14</v>
      </c>
      <c r="AA439">
        <f>Z439/Z440</f>
        <v>2.7916585243293042E-5</v>
      </c>
    </row>
    <row r="440" spans="1:27" x14ac:dyDescent="0.3">
      <c r="A440" t="s">
        <v>2</v>
      </c>
      <c r="B440">
        <v>15507</v>
      </c>
      <c r="C440">
        <v>19723</v>
      </c>
      <c r="D440">
        <v>16807</v>
      </c>
      <c r="E440">
        <v>23733</v>
      </c>
      <c r="F440">
        <v>16164</v>
      </c>
      <c r="G440">
        <v>18468</v>
      </c>
      <c r="H440">
        <v>19314</v>
      </c>
      <c r="I440">
        <v>22966</v>
      </c>
      <c r="J440">
        <v>17919</v>
      </c>
      <c r="K440">
        <v>19246</v>
      </c>
      <c r="L440">
        <v>19918</v>
      </c>
      <c r="M440">
        <v>28499</v>
      </c>
      <c r="N440">
        <v>20842</v>
      </c>
      <c r="O440">
        <v>19874</v>
      </c>
      <c r="P440">
        <v>19869</v>
      </c>
      <c r="Q440">
        <v>25811</v>
      </c>
      <c r="R440">
        <v>16771</v>
      </c>
      <c r="S440">
        <v>18635</v>
      </c>
      <c r="T440">
        <v>19443</v>
      </c>
      <c r="U440">
        <v>20815</v>
      </c>
      <c r="V440">
        <v>20043</v>
      </c>
      <c r="W440">
        <v>23015</v>
      </c>
      <c r="X440">
        <v>26010</v>
      </c>
      <c r="Y440">
        <v>32102</v>
      </c>
      <c r="Z440">
        <f>SUM(B440:Y440)</f>
        <v>501494</v>
      </c>
    </row>
    <row r="442" spans="1:27" x14ac:dyDescent="0.3">
      <c r="Y442" s="1"/>
    </row>
    <row r="443" spans="1:27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7" spans="1:27" x14ac:dyDescent="0.3">
      <c r="Y447" s="1"/>
    </row>
    <row r="448" spans="1:27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51" spans="2:25" x14ac:dyDescent="0.3">
      <c r="Y451" s="1"/>
    </row>
    <row r="452" spans="2:25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5" spans="2:25" x14ac:dyDescent="0.3">
      <c r="Y455" s="1"/>
    </row>
    <row r="456" spans="2:25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9" spans="2:25" x14ac:dyDescent="0.3">
      <c r="Y459" s="1"/>
    </row>
    <row r="460" spans="2:25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3" spans="2:25" x14ac:dyDescent="0.3">
      <c r="Y463" s="1"/>
    </row>
    <row r="464" spans="2:25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7" spans="2:25" x14ac:dyDescent="0.3">
      <c r="Y467" s="1"/>
    </row>
    <row r="468" spans="2:25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71" spans="2:25" x14ac:dyDescent="0.3">
      <c r="Y471" s="1"/>
    </row>
    <row r="472" spans="2:25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5" spans="2:25" x14ac:dyDescent="0.3">
      <c r="Y475" s="1"/>
    </row>
    <row r="476" spans="2:25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9" spans="2:25" x14ac:dyDescent="0.3">
      <c r="Y479" s="1"/>
    </row>
    <row r="480" spans="2:25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3" spans="2:25" x14ac:dyDescent="0.3">
      <c r="Y483" s="1"/>
    </row>
    <row r="484" spans="2:25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7" spans="2:25" x14ac:dyDescent="0.3">
      <c r="Y487" s="1"/>
    </row>
    <row r="488" spans="2:25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91" spans="2:25" x14ac:dyDescent="0.3">
      <c r="Y491" s="1"/>
    </row>
    <row r="492" spans="2:25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5" spans="2:25" x14ac:dyDescent="0.3">
      <c r="Y495" s="1"/>
    </row>
    <row r="496" spans="2:25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9" spans="2:25" x14ac:dyDescent="0.3">
      <c r="Y499" s="1"/>
    </row>
    <row r="500" spans="2:25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3" spans="2:25" x14ac:dyDescent="0.3">
      <c r="Y503" s="1"/>
    </row>
    <row r="504" spans="2:25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7" spans="2:25" x14ac:dyDescent="0.3">
      <c r="Y507" s="1"/>
    </row>
    <row r="508" spans="2:25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11" spans="2:25" x14ac:dyDescent="0.3">
      <c r="Y511" s="1"/>
    </row>
    <row r="512" spans="2:25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5" spans="2:25" x14ac:dyDescent="0.3">
      <c r="Y515" s="1"/>
    </row>
    <row r="516" spans="2:25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9" spans="2:25" x14ac:dyDescent="0.3">
      <c r="Y519" s="1"/>
    </row>
    <row r="520" spans="2:25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3" spans="2:25" x14ac:dyDescent="0.3">
      <c r="Y523" s="1"/>
    </row>
    <row r="524" spans="2:25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7" spans="2:25" x14ac:dyDescent="0.3">
      <c r="Y527" s="1"/>
    </row>
    <row r="528" spans="2:25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31" spans="2:25" x14ac:dyDescent="0.3">
      <c r="Y531" s="1"/>
    </row>
    <row r="532" spans="2:25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5" spans="2:25" x14ac:dyDescent="0.3">
      <c r="Y535" s="1"/>
    </row>
    <row r="536" spans="2:25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9" spans="2:25" x14ac:dyDescent="0.3">
      <c r="Y539" s="1"/>
    </row>
    <row r="540" spans="2:25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3" spans="2:25" x14ac:dyDescent="0.3">
      <c r="Y543" s="1"/>
    </row>
    <row r="544" spans="2:25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7" spans="2:25" x14ac:dyDescent="0.3">
      <c r="Y547" s="1"/>
    </row>
    <row r="548" spans="2:25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51" spans="2:25" x14ac:dyDescent="0.3">
      <c r="Y551" s="1"/>
    </row>
    <row r="552" spans="2:25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5" spans="2:25" x14ac:dyDescent="0.3">
      <c r="Y555" s="1"/>
    </row>
    <row r="556" spans="2:25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9" spans="2:25" x14ac:dyDescent="0.3">
      <c r="Y559" s="1"/>
    </row>
    <row r="560" spans="2:25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3" spans="2:25" x14ac:dyDescent="0.3">
      <c r="Y563" s="1"/>
    </row>
    <row r="564" spans="2:25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7" spans="2:25" x14ac:dyDescent="0.3">
      <c r="Y567" s="1"/>
    </row>
    <row r="568" spans="2:25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71" spans="2:25" x14ac:dyDescent="0.3">
      <c r="Y571" s="1"/>
    </row>
    <row r="572" spans="2:25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5" spans="2:25" x14ac:dyDescent="0.3">
      <c r="Y575" s="1"/>
    </row>
    <row r="576" spans="2:25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9" spans="2:25" x14ac:dyDescent="0.3">
      <c r="Y579" s="1"/>
    </row>
    <row r="580" spans="2:25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3" spans="2:25" x14ac:dyDescent="0.3">
      <c r="Y583" s="1"/>
    </row>
    <row r="584" spans="2:25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7" spans="2:25" x14ac:dyDescent="0.3">
      <c r="Y587" s="1"/>
    </row>
    <row r="588" spans="2:25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91" spans="2:25" x14ac:dyDescent="0.3">
      <c r="Y591" s="1"/>
    </row>
    <row r="592" spans="2:25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5" spans="2:25" x14ac:dyDescent="0.3">
      <c r="Y595" s="1"/>
    </row>
    <row r="596" spans="2:25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9" spans="2:25" x14ac:dyDescent="0.3">
      <c r="Y599" s="1"/>
    </row>
    <row r="600" spans="2:25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3" spans="2:25" x14ac:dyDescent="0.3">
      <c r="Y603" s="1"/>
    </row>
    <row r="604" spans="2:25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7" spans="2:25" x14ac:dyDescent="0.3">
      <c r="Y607" s="1"/>
    </row>
    <row r="608" spans="2:25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11" spans="2:25" x14ac:dyDescent="0.3">
      <c r="Y611" s="1"/>
    </row>
    <row r="612" spans="2:25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5" spans="2:25" x14ac:dyDescent="0.3">
      <c r="Y615" s="1"/>
    </row>
    <row r="616" spans="2:25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9" spans="2:25" x14ac:dyDescent="0.3">
      <c r="Y619" s="1"/>
    </row>
    <row r="620" spans="2:25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3" spans="2:25" x14ac:dyDescent="0.3">
      <c r="Y623" s="1"/>
    </row>
    <row r="624" spans="2:25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7" spans="2:25" x14ac:dyDescent="0.3">
      <c r="Y627" s="1"/>
    </row>
    <row r="628" spans="2:25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31" spans="2:25" x14ac:dyDescent="0.3">
      <c r="Y631" s="1"/>
    </row>
    <row r="632" spans="2:25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5" spans="2:25" x14ac:dyDescent="0.3">
      <c r="Y635" s="1"/>
    </row>
    <row r="636" spans="2:25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9" spans="2:25" x14ac:dyDescent="0.3">
      <c r="Y639" s="1"/>
    </row>
    <row r="640" spans="2:25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3" spans="2:25" x14ac:dyDescent="0.3">
      <c r="Y643" s="1"/>
    </row>
    <row r="644" spans="2:25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7" spans="2:25" x14ac:dyDescent="0.3">
      <c r="Y647" s="1"/>
    </row>
    <row r="648" spans="2:25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51" spans="2:25" x14ac:dyDescent="0.3">
      <c r="Y651" s="1"/>
    </row>
    <row r="652" spans="2:25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5" spans="2:25" x14ac:dyDescent="0.3">
      <c r="Y655" s="1"/>
    </row>
    <row r="656" spans="2:25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9" spans="2:25" x14ac:dyDescent="0.3">
      <c r="Y659" s="1"/>
    </row>
    <row r="660" spans="2:25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3" spans="2:25" x14ac:dyDescent="0.3">
      <c r="Y663" s="1"/>
    </row>
    <row r="664" spans="2:25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7" spans="2:25" x14ac:dyDescent="0.3">
      <c r="Y667" s="1"/>
    </row>
    <row r="668" spans="2:25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71" spans="2:25" x14ac:dyDescent="0.3">
      <c r="Y671" s="1"/>
    </row>
    <row r="672" spans="2:25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5" spans="2:25" x14ac:dyDescent="0.3">
      <c r="Y675" s="1"/>
    </row>
    <row r="676" spans="2:25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9" spans="2:25" x14ac:dyDescent="0.3">
      <c r="Y679" s="1"/>
    </row>
    <row r="680" spans="2:25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3" spans="2:25" x14ac:dyDescent="0.3">
      <c r="Y683" s="1"/>
    </row>
    <row r="684" spans="2:25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7" spans="2:25" x14ac:dyDescent="0.3">
      <c r="Y687" s="1"/>
    </row>
    <row r="688" spans="2:25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91" spans="2:25" x14ac:dyDescent="0.3">
      <c r="Y691" s="1"/>
    </row>
    <row r="692" spans="2:25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5" spans="2:25" x14ac:dyDescent="0.3">
      <c r="Y695" s="1"/>
    </row>
    <row r="696" spans="2:25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9" spans="2:25" x14ac:dyDescent="0.3">
      <c r="Y699" s="1"/>
    </row>
    <row r="700" spans="2:25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3" spans="2:25" x14ac:dyDescent="0.3">
      <c r="Y703" s="1"/>
    </row>
    <row r="704" spans="2:25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7" spans="2:25" x14ac:dyDescent="0.3">
      <c r="Y707" s="1"/>
    </row>
    <row r="708" spans="2:25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11" spans="2:25" x14ac:dyDescent="0.3">
      <c r="Y711" s="1"/>
    </row>
    <row r="712" spans="2:25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5" spans="2:25" x14ac:dyDescent="0.3">
      <c r="Y715" s="1"/>
    </row>
    <row r="716" spans="2:25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9" spans="2:25" x14ac:dyDescent="0.3">
      <c r="Y719" s="1"/>
    </row>
    <row r="720" spans="2:25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3" spans="2:25" x14ac:dyDescent="0.3">
      <c r="Y723" s="1"/>
    </row>
    <row r="724" spans="2:25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7" spans="2:25" x14ac:dyDescent="0.3">
      <c r="Y727" s="1"/>
    </row>
    <row r="728" spans="2:25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31" spans="2:25" x14ac:dyDescent="0.3">
      <c r="Y731" s="1"/>
    </row>
    <row r="732" spans="2:25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5" spans="2:25" x14ac:dyDescent="0.3">
      <c r="Y735" s="1"/>
    </row>
    <row r="736" spans="2:25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9" spans="2:25" x14ac:dyDescent="0.3">
      <c r="Y739" s="1"/>
    </row>
    <row r="740" spans="2:25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3" spans="2:25" x14ac:dyDescent="0.3">
      <c r="Y743" s="1"/>
    </row>
    <row r="744" spans="2:25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7" spans="2:25" x14ac:dyDescent="0.3">
      <c r="Y747" s="1"/>
    </row>
    <row r="748" spans="2:25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51" spans="2:25" x14ac:dyDescent="0.3">
      <c r="Y751" s="1"/>
    </row>
    <row r="752" spans="2:25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5" spans="2:25" x14ac:dyDescent="0.3">
      <c r="Y755" s="1"/>
    </row>
    <row r="756" spans="2:25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9" spans="2:25" x14ac:dyDescent="0.3">
      <c r="Y759" s="1"/>
    </row>
    <row r="760" spans="2:25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3" spans="2:25" x14ac:dyDescent="0.3">
      <c r="Y763" s="1"/>
    </row>
    <row r="764" spans="2:25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7" spans="2:25" x14ac:dyDescent="0.3">
      <c r="Y767" s="1"/>
    </row>
    <row r="768" spans="2:25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71" spans="2:25" x14ac:dyDescent="0.3">
      <c r="Y771" s="1"/>
    </row>
    <row r="772" spans="2:25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5" spans="2:25" x14ac:dyDescent="0.3">
      <c r="Y775" s="1"/>
    </row>
    <row r="776" spans="2:25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9" spans="2:25" x14ac:dyDescent="0.3">
      <c r="Y779" s="1"/>
    </row>
    <row r="780" spans="2:25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3" spans="2:25" x14ac:dyDescent="0.3">
      <c r="Y783" s="1"/>
    </row>
    <row r="784" spans="2:25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7" spans="2:25" x14ac:dyDescent="0.3">
      <c r="Y787" s="1"/>
    </row>
    <row r="788" spans="2:25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91" spans="2:25" x14ac:dyDescent="0.3">
      <c r="Y791" s="1"/>
    </row>
    <row r="792" spans="2:25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5" spans="2:25" x14ac:dyDescent="0.3">
      <c r="Y795" s="1"/>
    </row>
    <row r="796" spans="2:25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9" spans="2:25" x14ac:dyDescent="0.3">
      <c r="Y799" s="1"/>
    </row>
    <row r="800" spans="2:25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3" spans="2:25" x14ac:dyDescent="0.3">
      <c r="Y803" s="1"/>
    </row>
    <row r="804" spans="2:25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7" spans="2:25" x14ac:dyDescent="0.3">
      <c r="Y807" s="1"/>
    </row>
    <row r="808" spans="2:25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11" spans="2:25" x14ac:dyDescent="0.3">
      <c r="Y811" s="1"/>
    </row>
    <row r="812" spans="2:25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5" spans="2:25" x14ac:dyDescent="0.3">
      <c r="Y815" s="1"/>
    </row>
    <row r="816" spans="2:25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9" spans="2:25" x14ac:dyDescent="0.3">
      <c r="Y819" s="1"/>
    </row>
    <row r="820" spans="2:25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3" spans="2:25" x14ac:dyDescent="0.3">
      <c r="Y823" s="1"/>
    </row>
    <row r="824" spans="2:25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7" spans="2:25" x14ac:dyDescent="0.3">
      <c r="Y827" s="1"/>
    </row>
    <row r="828" spans="2:25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31" spans="2:25" x14ac:dyDescent="0.3">
      <c r="Y831" s="1"/>
    </row>
    <row r="832" spans="2:25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5" spans="2:25" x14ac:dyDescent="0.3">
      <c r="Y835" s="1"/>
    </row>
    <row r="836" spans="2:25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9" spans="2:25" x14ac:dyDescent="0.3">
      <c r="Y839" s="1"/>
    </row>
    <row r="840" spans="2:25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83CD-E555-4CFD-A3FC-E16708DB5A8C}">
  <dimension ref="A1:E47"/>
  <sheetViews>
    <sheetView tabSelected="1" topLeftCell="A9" zoomScale="68" workbookViewId="0">
      <selection activeCell="V27" sqref="V27"/>
    </sheetView>
  </sheetViews>
  <sheetFormatPr defaultRowHeight="14.4" x14ac:dyDescent="0.3"/>
  <cols>
    <col min="2" max="2" width="13" customWidth="1"/>
  </cols>
  <sheetData>
    <row r="1" spans="1:5" x14ac:dyDescent="0.3">
      <c r="A1" t="s">
        <v>59</v>
      </c>
      <c r="B1" t="s">
        <v>60</v>
      </c>
      <c r="C1" t="s">
        <v>61</v>
      </c>
      <c r="D1" t="s">
        <v>49</v>
      </c>
      <c r="E1" t="s">
        <v>63</v>
      </c>
    </row>
    <row r="2" spans="1:5" x14ac:dyDescent="0.3">
      <c r="A2" t="s">
        <v>1</v>
      </c>
      <c r="B2">
        <v>17</v>
      </c>
      <c r="C2">
        <v>0</v>
      </c>
      <c r="D2">
        <v>0</v>
      </c>
      <c r="E2">
        <v>113</v>
      </c>
    </row>
    <row r="3" spans="1:5" x14ac:dyDescent="0.3">
      <c r="A3" t="s">
        <v>4</v>
      </c>
      <c r="B3">
        <v>10</v>
      </c>
      <c r="C3">
        <v>0</v>
      </c>
      <c r="D3">
        <v>0</v>
      </c>
      <c r="E3">
        <v>2499</v>
      </c>
    </row>
    <row r="4" spans="1:5" x14ac:dyDescent="0.3">
      <c r="A4" t="s">
        <v>5</v>
      </c>
      <c r="B4">
        <v>15</v>
      </c>
      <c r="C4">
        <v>0</v>
      </c>
      <c r="D4">
        <v>0</v>
      </c>
      <c r="E4">
        <v>2070</v>
      </c>
    </row>
    <row r="5" spans="1:5" x14ac:dyDescent="0.3">
      <c r="A5" t="s">
        <v>6</v>
      </c>
      <c r="B5">
        <v>6</v>
      </c>
      <c r="C5">
        <v>0</v>
      </c>
      <c r="D5">
        <v>0</v>
      </c>
      <c r="E5">
        <v>1576</v>
      </c>
    </row>
    <row r="6" spans="1:5" x14ac:dyDescent="0.3">
      <c r="A6" t="s">
        <v>9</v>
      </c>
      <c r="B6">
        <v>7</v>
      </c>
      <c r="C6">
        <v>0</v>
      </c>
      <c r="D6">
        <v>0</v>
      </c>
      <c r="E6">
        <v>259</v>
      </c>
    </row>
    <row r="7" spans="1:5" x14ac:dyDescent="0.3">
      <c r="A7" t="s">
        <v>7</v>
      </c>
      <c r="B7">
        <v>15</v>
      </c>
      <c r="C7">
        <v>0</v>
      </c>
      <c r="D7">
        <v>0</v>
      </c>
      <c r="E7">
        <v>403</v>
      </c>
    </row>
    <row r="8" spans="1:5" x14ac:dyDescent="0.3">
      <c r="A8" t="s">
        <v>8</v>
      </c>
      <c r="B8">
        <v>7</v>
      </c>
      <c r="C8">
        <v>0</v>
      </c>
      <c r="D8">
        <v>0</v>
      </c>
      <c r="E8">
        <v>261</v>
      </c>
    </row>
    <row r="9" spans="1:5" x14ac:dyDescent="0.3">
      <c r="A9" t="s">
        <v>10</v>
      </c>
      <c r="B9">
        <v>15</v>
      </c>
      <c r="C9">
        <v>0</v>
      </c>
      <c r="D9">
        <v>0</v>
      </c>
      <c r="E9">
        <v>94</v>
      </c>
    </row>
    <row r="10" spans="1:5" x14ac:dyDescent="0.3">
      <c r="A10" t="s">
        <v>11</v>
      </c>
      <c r="B10">
        <v>28.073070000000001</v>
      </c>
      <c r="C10">
        <v>0.1123</v>
      </c>
      <c r="D10">
        <v>11</v>
      </c>
      <c r="E10">
        <v>9804</v>
      </c>
    </row>
    <row r="11" spans="1:5" x14ac:dyDescent="0.3">
      <c r="A11" t="s">
        <v>12</v>
      </c>
      <c r="B11">
        <v>9</v>
      </c>
      <c r="C11">
        <v>0</v>
      </c>
      <c r="D11">
        <v>0</v>
      </c>
      <c r="E11">
        <v>10316</v>
      </c>
    </row>
    <row r="12" spans="1:5" x14ac:dyDescent="0.3">
      <c r="A12" t="s">
        <v>13</v>
      </c>
      <c r="B12">
        <v>10</v>
      </c>
      <c r="C12">
        <v>0</v>
      </c>
      <c r="D12">
        <v>0</v>
      </c>
      <c r="E12">
        <v>290</v>
      </c>
    </row>
    <row r="13" spans="1:5" x14ac:dyDescent="0.3">
      <c r="A13" t="s">
        <v>14</v>
      </c>
      <c r="B13">
        <v>1</v>
      </c>
      <c r="C13">
        <v>0</v>
      </c>
      <c r="D13">
        <v>0</v>
      </c>
      <c r="E13">
        <v>45637</v>
      </c>
    </row>
    <row r="14" spans="1:5" x14ac:dyDescent="0.3">
      <c r="A14" t="s">
        <v>15</v>
      </c>
      <c r="B14">
        <v>1</v>
      </c>
      <c r="C14">
        <v>0</v>
      </c>
      <c r="D14">
        <v>0</v>
      </c>
      <c r="E14">
        <v>25660</v>
      </c>
    </row>
    <row r="15" spans="1:5" x14ac:dyDescent="0.3">
      <c r="A15" t="s">
        <v>16</v>
      </c>
      <c r="B15">
        <v>-2</v>
      </c>
      <c r="C15">
        <v>0</v>
      </c>
      <c r="D15">
        <v>0</v>
      </c>
      <c r="E15">
        <v>6528</v>
      </c>
    </row>
    <row r="16" spans="1:5" x14ac:dyDescent="0.3">
      <c r="A16" t="s">
        <v>17</v>
      </c>
      <c r="B16">
        <v>-3.5</v>
      </c>
      <c r="C16">
        <v>0</v>
      </c>
      <c r="D16">
        <v>0</v>
      </c>
      <c r="E16">
        <v>168</v>
      </c>
    </row>
    <row r="17" spans="1:5" x14ac:dyDescent="0.3">
      <c r="A17" t="s">
        <v>18</v>
      </c>
      <c r="B17">
        <v>-4</v>
      </c>
      <c r="C17">
        <v>0</v>
      </c>
      <c r="D17">
        <v>0</v>
      </c>
      <c r="E17">
        <v>2070</v>
      </c>
    </row>
    <row r="18" spans="1:5" x14ac:dyDescent="0.3">
      <c r="A18" t="s">
        <v>19</v>
      </c>
      <c r="B18">
        <v>-1</v>
      </c>
      <c r="C18">
        <v>0</v>
      </c>
      <c r="D18">
        <v>0</v>
      </c>
      <c r="E18">
        <v>614</v>
      </c>
    </row>
    <row r="19" spans="1:5" x14ac:dyDescent="0.3">
      <c r="A19" t="s">
        <v>20</v>
      </c>
      <c r="B19">
        <v>-1</v>
      </c>
      <c r="C19">
        <v>0</v>
      </c>
      <c r="D19">
        <v>0</v>
      </c>
      <c r="E19">
        <v>1042</v>
      </c>
    </row>
    <row r="20" spans="1:5" x14ac:dyDescent="0.3">
      <c r="A20" t="s">
        <v>21</v>
      </c>
      <c r="B20">
        <v>2</v>
      </c>
      <c r="C20">
        <v>0</v>
      </c>
      <c r="D20">
        <v>0</v>
      </c>
      <c r="E20">
        <v>762</v>
      </c>
    </row>
    <row r="21" spans="1:5" x14ac:dyDescent="0.3">
      <c r="A21" t="s">
        <v>22</v>
      </c>
      <c r="B21">
        <v>-6</v>
      </c>
      <c r="C21">
        <v>0</v>
      </c>
      <c r="D21">
        <v>0</v>
      </c>
      <c r="E21">
        <v>28681</v>
      </c>
    </row>
    <row r="22" spans="1:5" x14ac:dyDescent="0.3">
      <c r="A22" t="s">
        <v>23</v>
      </c>
      <c r="B22">
        <v>-15</v>
      </c>
      <c r="C22">
        <v>0</v>
      </c>
      <c r="D22">
        <v>0</v>
      </c>
      <c r="E22">
        <v>12969</v>
      </c>
    </row>
    <row r="23" spans="1:5" x14ac:dyDescent="0.3">
      <c r="A23" t="s">
        <v>24</v>
      </c>
      <c r="B23">
        <v>-12</v>
      </c>
      <c r="C23">
        <v>0</v>
      </c>
      <c r="D23">
        <v>0</v>
      </c>
      <c r="E23">
        <v>785</v>
      </c>
    </row>
    <row r="24" spans="1:5" x14ac:dyDescent="0.3">
      <c r="A24" t="s">
        <v>25</v>
      </c>
      <c r="B24">
        <v>-14</v>
      </c>
      <c r="C24">
        <v>0</v>
      </c>
      <c r="D24">
        <v>0</v>
      </c>
      <c r="E24">
        <v>2454</v>
      </c>
    </row>
    <row r="25" spans="1:5" x14ac:dyDescent="0.3">
      <c r="A25" t="s">
        <v>26</v>
      </c>
      <c r="B25">
        <v>-18</v>
      </c>
      <c r="C25">
        <v>0</v>
      </c>
      <c r="D25">
        <v>0</v>
      </c>
      <c r="E25">
        <v>5830</v>
      </c>
    </row>
    <row r="26" spans="1:5" x14ac:dyDescent="0.3">
      <c r="A26" t="s">
        <v>27</v>
      </c>
      <c r="B26">
        <v>-19</v>
      </c>
      <c r="C26">
        <v>0</v>
      </c>
      <c r="D26">
        <v>0</v>
      </c>
      <c r="E26">
        <v>13839</v>
      </c>
    </row>
    <row r="27" spans="1:5" x14ac:dyDescent="0.3">
      <c r="A27" t="s">
        <v>28</v>
      </c>
      <c r="B27">
        <v>-22</v>
      </c>
      <c r="C27">
        <v>0</v>
      </c>
      <c r="D27">
        <v>0</v>
      </c>
      <c r="E27">
        <v>16693</v>
      </c>
    </row>
    <row r="28" spans="1:5" x14ac:dyDescent="0.3">
      <c r="A28" t="s">
        <v>29</v>
      </c>
      <c r="B28">
        <v>-22</v>
      </c>
      <c r="C28">
        <v>0</v>
      </c>
      <c r="D28">
        <v>0</v>
      </c>
      <c r="E28">
        <v>18456</v>
      </c>
    </row>
    <row r="29" spans="1:5" x14ac:dyDescent="0.3">
      <c r="A29" t="s">
        <v>30</v>
      </c>
      <c r="B29">
        <v>-26.5</v>
      </c>
      <c r="C29">
        <v>0</v>
      </c>
      <c r="D29">
        <v>0</v>
      </c>
      <c r="E29">
        <v>890</v>
      </c>
    </row>
    <row r="30" spans="1:5" x14ac:dyDescent="0.3">
      <c r="A30" t="s">
        <v>31</v>
      </c>
      <c r="B30">
        <v>-29.5</v>
      </c>
      <c r="C30">
        <v>0</v>
      </c>
      <c r="D30">
        <v>0</v>
      </c>
      <c r="E30">
        <v>831</v>
      </c>
    </row>
    <row r="31" spans="1:5" x14ac:dyDescent="0.3">
      <c r="A31" t="s">
        <v>32</v>
      </c>
      <c r="B31">
        <v>-30</v>
      </c>
      <c r="C31">
        <v>0</v>
      </c>
      <c r="D31">
        <v>0</v>
      </c>
      <c r="E31">
        <v>162201</v>
      </c>
    </row>
    <row r="32" spans="1:5" x14ac:dyDescent="0.3">
      <c r="A32" t="s">
        <v>33</v>
      </c>
      <c r="B32">
        <v>-20</v>
      </c>
      <c r="C32">
        <v>0</v>
      </c>
      <c r="D32">
        <v>0</v>
      </c>
      <c r="E32">
        <v>17764</v>
      </c>
    </row>
    <row r="33" spans="1:5" x14ac:dyDescent="0.3">
      <c r="A33" t="s">
        <v>62</v>
      </c>
      <c r="B33">
        <v>26.489830000000001</v>
      </c>
      <c r="C33">
        <v>1.6230000000000001E-2</v>
      </c>
      <c r="D33">
        <v>188</v>
      </c>
      <c r="E33">
        <v>1159002</v>
      </c>
    </row>
    <row r="34" spans="1:5" x14ac:dyDescent="0.3">
      <c r="A34" t="s">
        <v>34</v>
      </c>
      <c r="B34">
        <v>18.76839</v>
      </c>
      <c r="C34">
        <v>2.7609999999999999E-2</v>
      </c>
      <c r="D34">
        <v>4</v>
      </c>
      <c r="E34">
        <v>14492</v>
      </c>
    </row>
    <row r="35" spans="1:5" x14ac:dyDescent="0.3">
      <c r="A35" t="s">
        <v>35</v>
      </c>
      <c r="B35">
        <v>15</v>
      </c>
      <c r="C35">
        <v>0</v>
      </c>
      <c r="D35">
        <v>0</v>
      </c>
      <c r="E35">
        <v>445</v>
      </c>
    </row>
    <row r="36" spans="1:5" x14ac:dyDescent="0.3">
      <c r="A36" t="s">
        <v>36</v>
      </c>
      <c r="B36">
        <v>25</v>
      </c>
      <c r="C36">
        <v>8.3690000000000001E-2</v>
      </c>
      <c r="D36">
        <v>6</v>
      </c>
      <c r="E36">
        <v>7169</v>
      </c>
    </row>
    <row r="37" spans="1:5" x14ac:dyDescent="0.3">
      <c r="A37" t="s">
        <v>37</v>
      </c>
      <c r="B37">
        <v>24.812200000000001</v>
      </c>
      <c r="C37">
        <v>3.0800000000000001E-2</v>
      </c>
      <c r="D37">
        <v>10</v>
      </c>
      <c r="E37">
        <v>32485</v>
      </c>
    </row>
    <row r="38" spans="1:5" x14ac:dyDescent="0.3">
      <c r="A38" t="s">
        <v>38</v>
      </c>
      <c r="B38">
        <v>24</v>
      </c>
      <c r="C38">
        <v>0</v>
      </c>
      <c r="D38">
        <v>0</v>
      </c>
      <c r="E38">
        <v>17684</v>
      </c>
    </row>
    <row r="39" spans="1:5" x14ac:dyDescent="0.3">
      <c r="A39" t="s">
        <v>43</v>
      </c>
      <c r="B39">
        <v>22</v>
      </c>
      <c r="C39">
        <v>1.6049999999999998E-2</v>
      </c>
      <c r="D39">
        <v>1</v>
      </c>
      <c r="E39">
        <v>6232</v>
      </c>
    </row>
    <row r="40" spans="1:5" x14ac:dyDescent="0.3">
      <c r="A40" t="s">
        <v>44</v>
      </c>
      <c r="B40">
        <v>20</v>
      </c>
      <c r="C40">
        <v>0</v>
      </c>
      <c r="D40">
        <v>0</v>
      </c>
      <c r="E40">
        <v>5723</v>
      </c>
    </row>
    <row r="41" spans="1:5" x14ac:dyDescent="0.3">
      <c r="A41" t="s">
        <v>45</v>
      </c>
      <c r="B41">
        <v>17.607150000000001</v>
      </c>
      <c r="C41">
        <v>3.5500000000000002E-3</v>
      </c>
      <c r="D41">
        <v>1</v>
      </c>
      <c r="E41">
        <v>28139</v>
      </c>
    </row>
    <row r="42" spans="1:5" x14ac:dyDescent="0.3">
      <c r="A42" t="s">
        <v>46</v>
      </c>
      <c r="B42">
        <v>20.165749999999999</v>
      </c>
      <c r="C42">
        <v>1.97E-3</v>
      </c>
      <c r="D42">
        <v>3</v>
      </c>
      <c r="E42">
        <v>152536</v>
      </c>
    </row>
    <row r="43" spans="1:5" x14ac:dyDescent="0.3">
      <c r="A43" t="s">
        <v>47</v>
      </c>
      <c r="B43">
        <v>12.99</v>
      </c>
      <c r="C43">
        <v>4.1399999999999996E-3</v>
      </c>
      <c r="D43">
        <v>1</v>
      </c>
      <c r="E43">
        <v>24167</v>
      </c>
    </row>
    <row r="44" spans="1:5" x14ac:dyDescent="0.3">
      <c r="A44" t="s">
        <v>54</v>
      </c>
      <c r="B44">
        <v>5</v>
      </c>
      <c r="C44">
        <v>0</v>
      </c>
      <c r="D44">
        <v>0</v>
      </c>
      <c r="E44">
        <v>52903</v>
      </c>
    </row>
    <row r="45" spans="1:5" x14ac:dyDescent="0.3">
      <c r="A45" t="s">
        <v>55</v>
      </c>
      <c r="B45">
        <v>-2</v>
      </c>
      <c r="C45">
        <v>0</v>
      </c>
      <c r="D45">
        <v>0</v>
      </c>
      <c r="E45">
        <v>186</v>
      </c>
    </row>
    <row r="46" spans="1:5" x14ac:dyDescent="0.3">
      <c r="A46" t="s">
        <v>56</v>
      </c>
      <c r="B46">
        <v>20.470739999999999</v>
      </c>
      <c r="C46">
        <v>1.97E-3</v>
      </c>
      <c r="D46">
        <v>1</v>
      </c>
      <c r="E46">
        <v>50778</v>
      </c>
    </row>
    <row r="47" spans="1:5" x14ac:dyDescent="0.3">
      <c r="A47" t="s">
        <v>57</v>
      </c>
      <c r="B47">
        <v>5</v>
      </c>
      <c r="C47">
        <v>0</v>
      </c>
      <c r="D47">
        <v>0</v>
      </c>
      <c r="E47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Tijare</dc:creator>
  <cp:lastModifiedBy>Mandar Tijare</cp:lastModifiedBy>
  <dcterms:created xsi:type="dcterms:W3CDTF">2026-01-17T11:30:17Z</dcterms:created>
  <dcterms:modified xsi:type="dcterms:W3CDTF">2026-01-22T11:30:12Z</dcterms:modified>
</cp:coreProperties>
</file>